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ЭтаКнига" defaultThemeVersion="124226"/>
  <xr:revisionPtr revIDLastSave="0" documentId="8_{2555AC50-6225-465C-9382-09395EE80CA9}" xr6:coauthVersionLast="36" xr6:coauthVersionMax="36" xr10:uidLastSave="{00000000-0000-0000-0000-000000000000}"/>
  <bookViews>
    <workbookView xWindow="0" yWindow="0" windowWidth="23040" windowHeight="8940" tabRatio="728" xr2:uid="{00000000-000D-0000-FFFF-FFFF00000000}"/>
  </bookViews>
  <sheets>
    <sheet name="Стоимость оценки" sheetId="11" r:id="rId1"/>
    <sheet name="Калькулятор выезда" sheetId="10" r:id="rId2"/>
    <sheet name="Стоимости оценок и нарядов" sheetId="7" state="hidden" r:id="rId3"/>
    <sheet name="Информация по стоимостям" sheetId="1" state="hidden" r:id="rId4"/>
    <sheet name="Дополнительное" sheetId="4" r:id="rId5"/>
    <sheet name="Расчет наряда" sheetId="13" r:id="rId6"/>
    <sheet name="Списки" sheetId="12" r:id="rId7"/>
  </sheets>
  <definedNames>
    <definedName name="_xlnm._FilterDatabase" localSheetId="4" hidden="1">Дополнительное!$A$1:$C$4</definedName>
    <definedName name="_xlnm._FilterDatabase" localSheetId="3" hidden="1">'Информация по стоимостям'!$A$1:$G$438</definedName>
    <definedName name="_xlnm._FilterDatabase" localSheetId="6" hidden="1">Списки!$A$1:$A$4</definedName>
  </definedNames>
  <calcPr calcId="191029"/>
  <pivotCaches>
    <pivotCache cacheId="0" r:id="rId8"/>
  </pivotCaches>
</workbook>
</file>

<file path=xl/calcChain.xml><?xml version="1.0" encoding="utf-8"?>
<calcChain xmlns="http://schemas.openxmlformats.org/spreadsheetml/2006/main">
  <c r="F10" i="11" l="1"/>
  <c r="F12" i="11" s="1"/>
  <c r="N7" i="12"/>
  <c r="N11" i="12"/>
  <c r="N10" i="12"/>
  <c r="N9" i="12"/>
  <c r="N8" i="12"/>
  <c r="N6" i="12"/>
  <c r="F7" i="11"/>
  <c r="F13" i="11" l="1"/>
  <c r="F11" i="11"/>
  <c r="M10" i="12"/>
  <c r="M11" i="12"/>
  <c r="M9" i="12"/>
  <c r="M8" i="12"/>
  <c r="M7" i="12"/>
  <c r="F15" i="11" l="1"/>
  <c r="D8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7" i="7"/>
  <c r="D6" i="7"/>
  <c r="D5" i="7"/>
  <c r="D4" i="7"/>
  <c r="F9" i="10"/>
  <c r="C10" i="10"/>
  <c r="F8" i="10"/>
  <c r="F11" i="10" s="1"/>
  <c r="F7" i="10"/>
  <c r="F10" i="10" s="1"/>
  <c r="F6" i="10"/>
  <c r="F5" i="10"/>
  <c r="C11" i="10"/>
  <c r="C12" i="10" s="1"/>
  <c r="F12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18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Без учета подготовки к выезду, и без транспортировочных расходов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2" authorId="0" shapeId="0" xr:uid="{00000000-0006-0000-0100-000001000000}">
      <text>
        <r>
          <rPr>
            <sz val="9"/>
            <color indexed="81"/>
            <rFont val="Tahoma"/>
            <family val="2"/>
            <charset val="204"/>
          </rPr>
          <t>Когда требуется выезд именно Оценщика (например, для суда или ввиду специфики объекта оценки)</t>
        </r>
      </text>
    </comment>
    <comment ref="B8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Зависит от площади объекта оценки и его состава</t>
        </r>
      </text>
    </comment>
    <comment ref="E8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Зависит от площади объекта оценки и его состава</t>
        </r>
      </text>
    </comment>
  </commentList>
</comments>
</file>

<file path=xl/sharedStrings.xml><?xml version="1.0" encoding="utf-8"?>
<sst xmlns="http://schemas.openxmlformats.org/spreadsheetml/2006/main" count="1484" uniqueCount="197">
  <si>
    <t>Объект оценки</t>
  </si>
  <si>
    <t>Стоимость</t>
  </si>
  <si>
    <t>Ссылка</t>
  </si>
  <si>
    <t>https://www.grand-real.ru/evaluation/otsenka-nedvizhimosti/</t>
  </si>
  <si>
    <t>Квартира для опеки</t>
  </si>
  <si>
    <t>Квартира, комната, доля в Москве, МО</t>
  </si>
  <si>
    <t>Элитная квартира (от 90 м2)</t>
  </si>
  <si>
    <t>от</t>
  </si>
  <si>
    <t>Жилой дом до 100 м2 с участком</t>
  </si>
  <si>
    <t>Жилой дом до 300 м2 с участком</t>
  </si>
  <si>
    <t>Жилой дом до 500 м2 с участком</t>
  </si>
  <si>
    <t>Элит. Жилой дом более 500 м2 с участком</t>
  </si>
  <si>
    <t>Доп. постройки (1 ед.)</t>
  </si>
  <si>
    <t>Земельный участок с/х назначения до 10 га</t>
  </si>
  <si>
    <t>Земельный участок с/х назначения свыше 10 га</t>
  </si>
  <si>
    <t>Оценка недвижимости для оспаривания кадастровой стоимости</t>
  </si>
  <si>
    <t>Отдельное здание от 5000 м2</t>
  </si>
  <si>
    <t>Оценка арендной ставки</t>
  </si>
  <si>
    <t>Авто отечественное</t>
  </si>
  <si>
    <t>Авто импортное</t>
  </si>
  <si>
    <t>Авто элитное</t>
  </si>
  <si>
    <t>Оружие</t>
  </si>
  <si>
    <t>Офисное оборудование</t>
  </si>
  <si>
    <t>Строительная техника</t>
  </si>
  <si>
    <t>Морские, речные, воздушные суда и ж/д транспорт</t>
  </si>
  <si>
    <t>Технологические линии (заводы)</t>
  </si>
  <si>
    <t>Акции (котируемые)</t>
  </si>
  <si>
    <t>Акции (некотируемые)</t>
  </si>
  <si>
    <t>Доли ООО</t>
  </si>
  <si>
    <t>Малый бизнес</t>
  </si>
  <si>
    <t>Средний бизнес</t>
  </si>
  <si>
    <t>Крупный, крупнейший бизнес</t>
  </si>
  <si>
    <t>Ущерб (залив, пожар), за помещение</t>
  </si>
  <si>
    <t>Услуга</t>
  </si>
  <si>
    <t>Примечание</t>
  </si>
  <si>
    <t>Коэффициент</t>
  </si>
  <si>
    <t>Срочная оценка</t>
  </si>
  <si>
    <t>Оценка на дату предыдущих лет</t>
  </si>
  <si>
    <t>Срок работы</t>
  </si>
  <si>
    <t>Комментарий к стоимости</t>
  </si>
  <si>
    <t>Комментарий к сроку работы</t>
  </si>
  <si>
    <t>Долговые обязательства</t>
  </si>
  <si>
    <t>Интеллектуальная собственность</t>
  </si>
  <si>
    <t>Серийное техническое оборудование, ед.</t>
  </si>
  <si>
    <t>Регистрация прав собственности + отчет об оценке</t>
  </si>
  <si>
    <t>https://urdis.ru/services/otsenka/</t>
  </si>
  <si>
    <t>Товарный знак</t>
  </si>
  <si>
    <t>Патент</t>
  </si>
  <si>
    <t>Лицензия</t>
  </si>
  <si>
    <t>Деловая репутация</t>
  </si>
  <si>
    <t>Другие НМА</t>
  </si>
  <si>
    <t>Ноу-хау</t>
  </si>
  <si>
    <t>Общий комментарий</t>
  </si>
  <si>
    <t>Не менее 17 000</t>
  </si>
  <si>
    <t>При заказе от 500 ед.</t>
  </si>
  <si>
    <t>Участки коммерческого назначения до 1 га / 1 ед.</t>
  </si>
  <si>
    <t>Участки коммерческого более 1 га / 1 ед.</t>
  </si>
  <si>
    <t>Земельный участок некоммерческий до 10 соток</t>
  </si>
  <si>
    <t>Земельный участок некоммерческий более 10 соток</t>
  </si>
  <si>
    <t>Встроенные помещения коммерческие до 300 м2</t>
  </si>
  <si>
    <t>Встроенные помещения коммерческие 300-500 м2</t>
  </si>
  <si>
    <t>Встроенные помещения коммерческие 500-1000 м2</t>
  </si>
  <si>
    <t>Встроенные помещения коммерческие 1000-5000 м2</t>
  </si>
  <si>
    <t>Встроенные помещения коммерческие от 5000 м2</t>
  </si>
  <si>
    <t>Отдельное здание коммерческое до 500 м2</t>
  </si>
  <si>
    <t>Отдельное здание коммерческое 500-1000 м2</t>
  </si>
  <si>
    <t>Отдельное здание коммерческое 1000-5000 м2</t>
  </si>
  <si>
    <t>Отдельное здание коммерческое от 5000 м2</t>
  </si>
  <si>
    <t>Машино-место, гараж в Москве, МО</t>
  </si>
  <si>
    <t>Земельный участок некоммерческий 10-50 соток</t>
  </si>
  <si>
    <t>Земельный участок некоммерческий 50-100 соток</t>
  </si>
  <si>
    <t>Земельный участок некоммерческий 100-500 соток</t>
  </si>
  <si>
    <t>Земельный участок некоммерческий 500-2000 соток</t>
  </si>
  <si>
    <t>Земельный участок некоммерческий от 10 000 соток</t>
  </si>
  <si>
    <t>https://www.uphill.ru/price/</t>
  </si>
  <si>
    <t>https://expo-msk.ru/price/1/</t>
  </si>
  <si>
    <t>https://xn----8sb3afbigexm.xn--p1ai/price/</t>
  </si>
  <si>
    <t>Анализ финансово-хозяйственной деятельности предприятия</t>
  </si>
  <si>
    <t>Инвестиционная оценка предприятия (бизнеса)</t>
  </si>
  <si>
    <t>Отчет об оценке активов для целей МСФО</t>
  </si>
  <si>
    <t>Судебная экспертиза по оспариванию кадастровой стоимости недвижимости</t>
  </si>
  <si>
    <t>Судебная экспертиза ценных бумаг</t>
  </si>
  <si>
    <t>Судебная экспертиза ООО</t>
  </si>
  <si>
    <t>Судебная экспертиза арендной ставки</t>
  </si>
  <si>
    <t>Судебная экспертиза рыночной стоимости автомобиля</t>
  </si>
  <si>
    <t>Судебная экспертиза имущественного комплекса</t>
  </si>
  <si>
    <t>Судебная экспертиза дебиторской задолженности</t>
  </si>
  <si>
    <t>Судебная экспертиза интернет-сайта</t>
  </si>
  <si>
    <t>Судебная экспертиза морского судна</t>
  </si>
  <si>
    <t>Судебная экспертиза нежилых помещений</t>
  </si>
  <si>
    <t>Судебная экспертиза нематериальных активов</t>
  </si>
  <si>
    <t>Судебная экспертиза офиса для оспаривания кадастровой стоимости</t>
  </si>
  <si>
    <t>Судебная экспертиза бизнеса</t>
  </si>
  <si>
    <t>Судебная экспертиза воздушного судна</t>
  </si>
  <si>
    <t>Судебная экспертиза рыночной стоимости станка</t>
  </si>
  <si>
    <t>Судебная экспертиза рыночной вагона/локомотива</t>
  </si>
  <si>
    <t>Судебная экспертиза земельного участка</t>
  </si>
  <si>
    <t>Судебная экспертиза рыночной стоимости оружия</t>
  </si>
  <si>
    <t>Судебная экспертиза рыночной стоимости мебели</t>
  </si>
  <si>
    <t>Судебная экспертиза рыночной стоимости ТМЦ, за ед.</t>
  </si>
  <si>
    <t>30 000, если более 100 соток</t>
  </si>
  <si>
    <t>От 20 000</t>
  </si>
  <si>
    <t>https://xn--1-8sbouoe0d.xn--p1ai/o-kompanii/ceny/</t>
  </si>
  <si>
    <t>Оценка упущенной выгоды</t>
  </si>
  <si>
    <t>Оценка имущества при приватизации</t>
  </si>
  <si>
    <t>Для НМА - от 30 000</t>
  </si>
  <si>
    <t>https://ce-na.ru/price/</t>
  </si>
  <si>
    <t>Названия строк</t>
  </si>
  <si>
    <t>Мин. стоимость услуги, руб.</t>
  </si>
  <si>
    <t>Мин. срок работы, дн.</t>
  </si>
  <si>
    <t>Мин. Наряд оценщика</t>
  </si>
  <si>
    <t>Судебная оценка</t>
  </si>
  <si>
    <r>
      <t xml:space="preserve">Расчет стоимости выезда </t>
    </r>
    <r>
      <rPr>
        <b/>
        <i/>
        <u/>
        <sz val="14"/>
        <color theme="1"/>
        <rFont val="Calibri"/>
        <family val="2"/>
        <charset val="204"/>
        <scheme val="minor"/>
      </rPr>
      <t>Оценщика</t>
    </r>
  </si>
  <si>
    <t>Показатель</t>
  </si>
  <si>
    <t>Значение</t>
  </si>
  <si>
    <t>Стоимость бензина А95 за 1 литр, руб.</t>
  </si>
  <si>
    <t>Средний расход 1 литра, км</t>
  </si>
  <si>
    <t>Расстояние от офиса до объекта оценки, км</t>
  </si>
  <si>
    <t>Ориентировочное время на объекте оценки, ч</t>
  </si>
  <si>
    <t>Стоимость бензина без налогов и сборов</t>
  </si>
  <si>
    <t>Стоимость водителя без налогов и сборов</t>
  </si>
  <si>
    <t>Стоимость бензина и водителя с налогами и сборами</t>
  </si>
  <si>
    <t>Стоимость оценщика без налогов и сборов</t>
  </si>
  <si>
    <t>Стоимость бензина и оценщика с налогами и сборами</t>
  </si>
  <si>
    <r>
      <t xml:space="preserve">Расчет стоимости выезда </t>
    </r>
    <r>
      <rPr>
        <b/>
        <i/>
        <u/>
        <sz val="14"/>
        <color theme="1"/>
        <rFont val="Calibri"/>
        <family val="2"/>
        <charset val="204"/>
        <scheme val="minor"/>
      </rPr>
      <t>Водителя</t>
    </r>
  </si>
  <si>
    <t>https://www.petrolplus.ru/fuelindex/gorod-moskva/ai95/</t>
  </si>
  <si>
    <t>Источник стоимости бензина А95</t>
  </si>
  <si>
    <t>Источник для построения маршрута</t>
  </si>
  <si>
    <t>Стоимость проезда по платной дороге, руб.</t>
  </si>
  <si>
    <t>Стоимость бензина и проезда без налогов и сборов</t>
  </si>
  <si>
    <t>https://yandex.ru/maps/213/moscow/?ll=37.600672%2C55.735591&amp;mode=routes&amp;rtext=55.734385%2C37.591342&amp;rtt=pd&amp;ruri=ymapsbm1%3A%2F%2Fgeo%3Fdata%3DCgg1NjY5ODAyORJH0KDQvtGB0YHQuNGPLCDQnNC-0YHQutCy0LAsINGD0LvQuNGG0LAg0KLQuNC80YPRgNCwINCk0YDRg9C90LfQtSwgMTbRgTMiC</t>
  </si>
  <si>
    <t>Итоговая стоимость оценки</t>
  </si>
  <si>
    <t>Кто будет выезжать на объект оценки</t>
  </si>
  <si>
    <t>Водитель</t>
  </si>
  <si>
    <t>Оценщик</t>
  </si>
  <si>
    <t>Никто</t>
  </si>
  <si>
    <t>Стоимость выезда</t>
  </si>
  <si>
    <t>Элемент</t>
  </si>
  <si>
    <t>Наряд Оценщика</t>
  </si>
  <si>
    <t>Направление оценки</t>
  </si>
  <si>
    <t>Недвижимость</t>
  </si>
  <si>
    <t>Бизнес</t>
  </si>
  <si>
    <t>Движимое имущество</t>
  </si>
  <si>
    <t>Отчет об оценке</t>
  </si>
  <si>
    <t>Экспертное заключение</t>
  </si>
  <si>
    <t>Автомобиль (импортный)</t>
  </si>
  <si>
    <t>Автомобиль (элитный)</t>
  </si>
  <si>
    <t>Автомобиль (отечественный)</t>
  </si>
  <si>
    <t>Анализ финансово-хозяйственной деятельности компании</t>
  </si>
  <si>
    <t>Коэффициенты</t>
  </si>
  <si>
    <t>Квартира (до 150 кв.м)</t>
  </si>
  <si>
    <t>Квартира (более 150 кв.м)</t>
  </si>
  <si>
    <t>Машино-место, гараж, бокс в МСК и МО</t>
  </si>
  <si>
    <t>Оспаривание кадастровой стоимости</t>
  </si>
  <si>
    <t>Заказчик (физ. лицо или юр. лицо)</t>
  </si>
  <si>
    <t>Стоимость бензина</t>
  </si>
  <si>
    <t>Формула для оценки наряда по ЗУ некоммерческим в сотках- МАКС(2000*LN(соток)-4000;2000)</t>
  </si>
  <si>
    <t>Формула для оценки земельного участка  с/х в кв.м - МАКС(7000*LN(кв.м)-70600;2000)</t>
  </si>
  <si>
    <t>Оценка при приватизации</t>
  </si>
  <si>
    <t>Формула для оценки наряда по отдельному коммерческому / производственному / складскому зданию в кв.м - МАКС(2500*LN(кв.м)-7000;5000)</t>
  </si>
  <si>
    <t>Формула для оценки наряда по встроенным помещениям коммерческим / производственным / складским в кв.м - МАКС(7000;12000*LN(кв.м)-50000)</t>
  </si>
  <si>
    <t>Формула для оценки наряда по жилому дому с ЗУ в кв.м - МАКС(3000;1200*LN(кв.м)-1500)</t>
  </si>
  <si>
    <t>Выезд эксперта в суд</t>
  </si>
  <si>
    <t>Оборудование нераспространенное, ед.</t>
  </si>
  <si>
    <t>Ущерб (залив, пожар) за помещение</t>
  </si>
  <si>
    <t>Оборудование распространенное (&gt;50 всех ед.), за ед.</t>
  </si>
  <si>
    <t>Станок</t>
  </si>
  <si>
    <t>Дополнения</t>
  </si>
  <si>
    <t>Дополнение</t>
  </si>
  <si>
    <t>Дополнения (вне договора)</t>
  </si>
  <si>
    <t>Оценка при изъятии</t>
  </si>
  <si>
    <t>Оценка упущенной выгоды (без изъятия)</t>
  </si>
  <si>
    <t>Формат документа</t>
  </si>
  <si>
    <t>Расчет упущенной выгоды</t>
  </si>
  <si>
    <t>Основной ценообразующий параметр</t>
  </si>
  <si>
    <t>Значение ценообразующего параметра</t>
  </si>
  <si>
    <t>Помещения, встроенные коммерческие</t>
  </si>
  <si>
    <t>Жилой дом с земельным участком</t>
  </si>
  <si>
    <t>Доля в уставном капитале</t>
  </si>
  <si>
    <t>Земельный участок некоммерческий</t>
  </si>
  <si>
    <t>Земельный участок сельскохозяйственный</t>
  </si>
  <si>
    <t>Отдельное здание коммерческое / производственное / складское</t>
  </si>
  <si>
    <t>Экспертиза</t>
  </si>
  <si>
    <t>Другое</t>
  </si>
  <si>
    <t>ЕСЛИ(G5="Недвижимость";"кв.м";ЕСЛИ(G5="Бизнес";"млн руб.";ЕСЛИ(G5="Движимое имущество";"ед.";"")))</t>
  </si>
  <si>
    <t>Доп. расчеты:</t>
  </si>
  <si>
    <t>Формула основного ценообразующего фактора</t>
  </si>
  <si>
    <t>Нужно приблизиться к какому-то значению</t>
  </si>
  <si>
    <t>Формула для оценки наряда по оценки бизнеса в зависимости от выручки компании в млн руб. - МАКС(10000;17000*LN(млн руб.)-80000)</t>
  </si>
  <si>
    <t>Физическое лицо</t>
  </si>
  <si>
    <t>Юридическое лицо</t>
  </si>
  <si>
    <t>Заключение эксперта (судебная экспертиза)</t>
  </si>
  <si>
    <t>Требуется ли выезд на объект оценки?</t>
  </si>
  <si>
    <t>Наряд Оценщика (без учета выезда)</t>
  </si>
  <si>
    <t>Заказчик (Физическое или Юридическое лицо)</t>
  </si>
  <si>
    <t>Ориентировочная стоимость оценки</t>
  </si>
  <si>
    <t>Сколько требуется экземпляров отчета / заключения?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</si>
</sst>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\ _₽_-;\-* #,##0.00\ _₽_-;_-* &quot;-&quot;??\ _₽_-;_-@_-"/>
    <numFmt numFmtId="164" formatCode="0.0"/>
    <numFmt numFmtId="165" formatCode="_-* #,##0\ _₽_-;\-* #,##0\ _₽_-;_-* &quot;-&quot;??\ _₽_-;_-@_-"/>
    <numFmt numFmtId="166" formatCode="#,##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  <font>
      <b/>
      <i/>
      <u/>
      <sz val="14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u/>
      <sz val="11"/>
      <color theme="10"/>
      <name val="Calibri"/>
      <family val="2"/>
      <scheme val="minor"/>
    </font>
    <font>
      <i/>
      <u/>
      <sz val="8"/>
      <color theme="1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55">
    <xf numFmtId="0" fontId="0" fillId="0" borderId="0" xfId="0"/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Fill="1" applyAlignment="1">
      <alignment vertical="center"/>
    </xf>
    <xf numFmtId="3" fontId="0" fillId="0" borderId="0" xfId="0" applyNumberFormat="1" applyAlignment="1">
      <alignment vertical="center"/>
    </xf>
    <xf numFmtId="3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1" applyNumberFormat="1" applyFont="1"/>
    <xf numFmtId="165" fontId="4" fillId="3" borderId="0" xfId="1" applyNumberFormat="1" applyFont="1" applyFill="1"/>
    <xf numFmtId="0" fontId="0" fillId="4" borderId="0" xfId="0" applyFill="1" applyAlignment="1">
      <alignment horizontal="left"/>
    </xf>
    <xf numFmtId="2" fontId="0" fillId="0" borderId="0" xfId="0" applyNumberFormat="1"/>
    <xf numFmtId="0" fontId="7" fillId="0" borderId="0" xfId="0" applyFont="1"/>
    <xf numFmtId="0" fontId="4" fillId="5" borderId="0" xfId="0" applyFont="1" applyFill="1"/>
    <xf numFmtId="2" fontId="0" fillId="4" borderId="0" xfId="0" applyNumberFormat="1" applyFill="1"/>
    <xf numFmtId="0" fontId="4" fillId="5" borderId="1" xfId="0" applyFont="1" applyFill="1" applyBorder="1"/>
    <xf numFmtId="164" fontId="4" fillId="5" borderId="1" xfId="0" applyNumberFormat="1" applyFont="1" applyFill="1" applyBorder="1"/>
    <xf numFmtId="0" fontId="0" fillId="0" borderId="1" xfId="0" applyBorder="1"/>
    <xf numFmtId="4" fontId="0" fillId="0" borderId="1" xfId="0" applyNumberFormat="1" applyFill="1" applyBorder="1"/>
    <xf numFmtId="4" fontId="0" fillId="0" borderId="1" xfId="0" applyNumberFormat="1" applyBorder="1"/>
    <xf numFmtId="0" fontId="6" fillId="7" borderId="1" xfId="0" applyFont="1" applyFill="1" applyBorder="1"/>
    <xf numFmtId="3" fontId="6" fillId="7" borderId="1" xfId="0" applyNumberFormat="1" applyFont="1" applyFill="1" applyBorder="1"/>
    <xf numFmtId="0" fontId="13" fillId="0" borderId="0" xfId="2" applyFont="1"/>
    <xf numFmtId="0" fontId="4" fillId="0" borderId="0" xfId="0" applyFont="1" applyAlignment="1">
      <alignment horizontal="right"/>
    </xf>
    <xf numFmtId="0" fontId="8" fillId="0" borderId="0" xfId="0" applyFont="1"/>
    <xf numFmtId="0" fontId="2" fillId="0" borderId="0" xfId="0" applyFont="1"/>
    <xf numFmtId="0" fontId="15" fillId="0" borderId="0" xfId="0" applyFont="1"/>
    <xf numFmtId="0" fontId="0" fillId="4" borderId="0" xfId="0" applyFill="1"/>
    <xf numFmtId="0" fontId="2" fillId="4" borderId="0" xfId="0" applyFont="1" applyFill="1"/>
    <xf numFmtId="0" fontId="4" fillId="8" borderId="1" xfId="0" applyFont="1" applyFill="1" applyBorder="1"/>
    <xf numFmtId="0" fontId="4" fillId="8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4" fontId="14" fillId="0" borderId="1" xfId="0" applyNumberFormat="1" applyFont="1" applyFill="1" applyBorder="1" applyAlignment="1">
      <alignment horizontal="left"/>
    </xf>
    <xf numFmtId="3" fontId="0" fillId="0" borderId="1" xfId="0" applyNumberFormat="1" applyBorder="1"/>
    <xf numFmtId="0" fontId="8" fillId="6" borderId="0" xfId="0" applyFont="1" applyFill="1"/>
    <xf numFmtId="3" fontId="8" fillId="7" borderId="1" xfId="0" applyNumberFormat="1" applyFont="1" applyFill="1" applyBorder="1" applyAlignment="1">
      <alignment horizontal="left"/>
    </xf>
    <xf numFmtId="0" fontId="4" fillId="5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8" fillId="9" borderId="1" xfId="0" applyFont="1" applyFill="1" applyBorder="1"/>
    <xf numFmtId="0" fontId="0" fillId="0" borderId="0" xfId="0" applyAlignment="1">
      <alignment horizontal="center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left"/>
    </xf>
    <xf numFmtId="0" fontId="16" fillId="0" borderId="0" xfId="0" applyFont="1" applyAlignment="1">
      <alignment horizontal="left" vertical="center"/>
    </xf>
    <xf numFmtId="0" fontId="15" fillId="5" borderId="0" xfId="0" applyFont="1" applyFill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4" fontId="0" fillId="0" borderId="1" xfId="0" applyNumberFormat="1" applyFill="1" applyBorder="1" applyAlignment="1">
      <alignment horizontal="left"/>
    </xf>
    <xf numFmtId="166" fontId="1" fillId="0" borderId="1" xfId="0" applyNumberFormat="1" applyFont="1" applyFill="1" applyBorder="1" applyAlignment="1">
      <alignment horizontal="left"/>
    </xf>
    <xf numFmtId="1" fontId="1" fillId="0" borderId="0" xfId="0" applyNumberFormat="1" applyFont="1"/>
  </cellXfs>
  <cellStyles count="3">
    <cellStyle name="Гиперссылка" xfId="2" builtinId="8"/>
    <cellStyle name="Обычный" xfId="0" builtinId="0"/>
    <cellStyle name="Финансовый" xfId="1" builtinId="3"/>
  </cellStyles>
  <dxfs count="3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  <i val="0"/>
      </font>
      <fill>
        <patternFill>
          <bgColor theme="5" tint="0.5999633777886288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1057;&#1090;&#1086;&#1080;&#1084;&#1086;&#1089;&#1090;&#1080;%20&#1086;&#1094;&#1077;&#1085;&#1082;&#1080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втор" refreshedDate="45953.629583912036" createdVersion="5" refreshedVersion="5" minRefreshableVersion="3" recordCount="437" xr:uid="{00000000-000A-0000-FFFF-FFFF00000000}">
  <cacheSource type="worksheet">
    <worksheetSource ref="A1:G438" sheet="Информация по стоимостям" r:id="rId2"/>
  </cacheSource>
  <cacheFields count="8">
    <cacheField name="Объект оценки" numFmtId="0">
      <sharedItems count="84">
        <s v="Квартира для опеки"/>
        <s v="Квартира, комната, доля в Москве, МО"/>
        <s v="Элитная квартира (от 90 м2)"/>
        <s v="Регистрация прав собственности + отчет об оценке"/>
        <s v="Земельный участок некоммерческий до 10 соток"/>
        <s v="Земельный участок некоммерческий более 10 соток"/>
        <s v="Жилой дом до 100 м2 с участком"/>
        <s v="Жилой дом до 300 м2 с участком"/>
        <s v="Жилой дом до 500 м2 с участком"/>
        <s v="Элит. Жилой дом более 500 м2 с участком"/>
        <s v="Доп. постройки (1 ед.)"/>
        <s v="Земельный участок с/х назначения до 10 га"/>
        <s v="Земельный участок с/х назначения свыше 10 га"/>
        <s v="Оценка недвижимости для оспаривания кадастровой стоимости"/>
        <s v="Участки коммерческого назначения до 1 га / 1 ед."/>
        <s v="Участки коммерческого более 1 га / 1 ед."/>
        <s v="Встроенные помещения коммерческие до 300 м2"/>
        <s v="Встроенные помещения коммерческие 300-500 м2"/>
        <s v="Встроенные помещения коммерческие 500-1000 м2"/>
        <s v="Встроенные помещения коммерческие 1000-5000 м2"/>
        <s v="Встроенные помещения коммерческие от 5000 м2"/>
        <s v="Отдельное здание коммерческое до 500 м2"/>
        <s v="Отдельное здание коммерческое 500-1000 м2"/>
        <s v="Отдельное здание коммерческое 1000-5000 м2"/>
        <s v="Отдельное здание от 5000 м2"/>
        <s v="Машино-место, гараж в Москве, МО"/>
        <s v="Оценка арендной ставки"/>
        <s v="Авто отечественное"/>
        <s v="Авто импортное"/>
        <s v="Авто элитное"/>
        <s v="Оружие"/>
        <s v="Офисное оборудование"/>
        <s v="Серийное техническое оборудование, ед."/>
        <s v="Строительная техника"/>
        <s v="Морские, речные, воздушные суда и ж/д транспорт"/>
        <s v="Технологические линии (заводы)"/>
        <s v="Акции (котируемые)"/>
        <s v="Акции (некотируемые)"/>
        <s v="Доли ООО"/>
        <s v="Малый бизнес"/>
        <s v="Средний бизнес"/>
        <s v="Крупный, крупнейший бизнес"/>
        <s v="Ущерб (залив, пожар), за помещение"/>
        <s v="Долговые обязательства"/>
        <s v="Интеллектуальная собственность"/>
        <s v="Отдельное здание коммерческое от 5000 м2"/>
        <s v="Товарный знак"/>
        <s v="Патент"/>
        <s v="Ноу-хау"/>
        <s v="Лицензия"/>
        <s v="Деловая репутация"/>
        <s v="Другие НМА"/>
        <s v="Земельный участок некоммерческий 10-50 соток"/>
        <s v="Земельный участок некоммерческий 50-100 соток"/>
        <s v="Земельный участок некоммерческий 100-500 соток"/>
        <s v="Земельный участок некоммерческий 500-2000 соток"/>
        <s v="Земельный участок некоммерческий от 10 000 соток"/>
        <s v="Анализ финансово-хозяйственной деятельности предприятия"/>
        <s v="Инвестиционная оценка предприятия (бизнеса)"/>
        <s v="Отчет об оценке активов для целей МСФО"/>
        <s v="Судебная экспертиза по оспариванию кадастровой стоимости недвижимости"/>
        <s v="Судебная экспертиза ценных бумаг"/>
        <s v="Судебная экспертиза ООО"/>
        <s v="Судебная экспертиза арендной ставки"/>
        <s v="Судебная экспертиза рыночной стоимости автомобиля"/>
        <s v="Судебная экспертиза имущественного комплекса"/>
        <s v="Судебная экспертиза дебиторской задолженности"/>
        <s v="Судебная экспертиза интернет-сайта"/>
        <s v="Судебная экспертиза морского судна"/>
        <s v="Судебная экспертиза нежилых помещений"/>
        <s v="Судебная экспертиза нематериальных активов"/>
        <s v="Судебная экспертиза офиса для оспаривания кадастровой стоимости"/>
        <s v="Судебная экспертиза бизнеса"/>
        <s v="Судебная экспертиза воздушного судна"/>
        <s v="Судебная экспертиза рыночной стоимости станка"/>
        <s v="Судебная экспертиза рыночной стоимости ТМЦ, за ед."/>
        <s v="Судебная экспертиза рыночной вагона/локомотива"/>
        <s v="Судебная экспертиза земельного участка"/>
        <s v="Судебная экспертиза рыночной стоимости оружия"/>
        <s v="Судебная экспертиза рыночной стоимости мебели"/>
        <s v="Оценка упущенной выгоды"/>
        <s v="Оценка имущества при приватизации"/>
        <s v="Серийное техническое оборудоение, ед." u="1"/>
        <s v="Ювелирное украшение" u="1"/>
      </sharedItems>
    </cacheField>
    <cacheField name="Стоимость" numFmtId="0">
      <sharedItems containsString="0" containsBlank="1" containsNumber="1" containsInteger="1" minValue="200" maxValue="200000"/>
    </cacheField>
    <cacheField name="Комментарий к стоимости" numFmtId="0">
      <sharedItems containsBlank="1"/>
    </cacheField>
    <cacheField name="Срок работы" numFmtId="0">
      <sharedItems containsString="0" containsBlank="1" containsNumber="1" containsInteger="1" minValue="1" maxValue="21"/>
    </cacheField>
    <cacheField name="Комментарий к сроку работы" numFmtId="0">
      <sharedItems containsBlank="1"/>
    </cacheField>
    <cacheField name="Ссылка" numFmtId="0">
      <sharedItems/>
    </cacheField>
    <cacheField name="Общий комментарий" numFmtId="0">
      <sharedItems containsBlank="1"/>
    </cacheField>
    <cacheField name="Мин. наряд оценщика, руб." numFmtId="0" formula="ROUNDUP(Стоимость/4.827,-3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7">
  <r>
    <x v="0"/>
    <n v="2200"/>
    <m/>
    <m/>
    <m/>
    <s v="https://www.grand-real.ru/evaluation/otsenka-nedvizhimosti/"/>
    <m/>
  </r>
  <r>
    <x v="1"/>
    <n v="3500"/>
    <m/>
    <m/>
    <m/>
    <s v="https://www.grand-real.ru/evaluation/otsenka-nedvizhimosti/"/>
    <m/>
  </r>
  <r>
    <x v="2"/>
    <n v="6000"/>
    <m/>
    <m/>
    <m/>
    <s v="https://www.grand-real.ru/evaluation/otsenka-nedvizhimosti/"/>
    <m/>
  </r>
  <r>
    <x v="3"/>
    <n v="12000"/>
    <m/>
    <m/>
    <m/>
    <s v="https://www.grand-real.ru/evaluation/otsenka-nedvizhimosti/"/>
    <m/>
  </r>
  <r>
    <x v="4"/>
    <n v="3500"/>
    <s v="от"/>
    <m/>
    <m/>
    <s v="https://www.grand-real.ru/evaluation/otsenka-nedvizhimosti/"/>
    <m/>
  </r>
  <r>
    <x v="5"/>
    <n v="5000"/>
    <s v="от"/>
    <m/>
    <m/>
    <s v="https://www.grand-real.ru/evaluation/otsenka-nedvizhimosti/"/>
    <m/>
  </r>
  <r>
    <x v="6"/>
    <n v="5000"/>
    <s v="от"/>
    <m/>
    <m/>
    <s v="https://www.grand-real.ru/evaluation/otsenka-nedvizhimosti/"/>
    <m/>
  </r>
  <r>
    <x v="7"/>
    <n v="7000"/>
    <s v="от"/>
    <m/>
    <m/>
    <s v="https://www.grand-real.ru/evaluation/otsenka-nedvizhimosti/"/>
    <m/>
  </r>
  <r>
    <x v="8"/>
    <n v="85000"/>
    <s v="от"/>
    <m/>
    <m/>
    <s v="https://www.grand-real.ru/evaluation/otsenka-nedvizhimosti/"/>
    <m/>
  </r>
  <r>
    <x v="9"/>
    <n v="15000"/>
    <s v="от"/>
    <m/>
    <m/>
    <s v="https://www.grand-real.ru/evaluation/otsenka-nedvizhimosti/"/>
    <m/>
  </r>
  <r>
    <x v="10"/>
    <n v="3000"/>
    <m/>
    <m/>
    <m/>
    <s v="https://www.grand-real.ru/evaluation/otsenka-nedvizhimosti/"/>
    <m/>
  </r>
  <r>
    <x v="11"/>
    <n v="15000"/>
    <s v="от"/>
    <m/>
    <m/>
    <s v="https://www.grand-real.ru/evaluation/otsenka-nedvizhimosti/"/>
    <m/>
  </r>
  <r>
    <x v="12"/>
    <n v="18000"/>
    <s v="от"/>
    <m/>
    <m/>
    <s v="https://www.grand-real.ru/evaluation/otsenka-nedvizhimosti/"/>
    <m/>
  </r>
  <r>
    <x v="13"/>
    <n v="30000"/>
    <m/>
    <m/>
    <m/>
    <s v="https://www.grand-real.ru/evaluation/otsenka-nedvizhimosti/"/>
    <m/>
  </r>
  <r>
    <x v="14"/>
    <n v="10000"/>
    <m/>
    <m/>
    <m/>
    <s v="https://www.grand-real.ru/evaluation/otsenka-nedvizhimosti/"/>
    <m/>
  </r>
  <r>
    <x v="15"/>
    <n v="15000"/>
    <s v="от"/>
    <m/>
    <m/>
    <s v="https://www.grand-real.ru/evaluation/otsenka-nedvizhimosti/"/>
    <m/>
  </r>
  <r>
    <x v="16"/>
    <n v="8000"/>
    <m/>
    <m/>
    <m/>
    <s v="https://www.grand-real.ru/evaluation/otsenka-nedvizhimosti/"/>
    <m/>
  </r>
  <r>
    <x v="17"/>
    <n v="12000"/>
    <m/>
    <m/>
    <m/>
    <s v="https://www.grand-real.ru/evaluation/otsenka-nedvizhimosti/"/>
    <m/>
  </r>
  <r>
    <x v="18"/>
    <n v="25000"/>
    <m/>
    <m/>
    <m/>
    <s v="https://www.grand-real.ru/evaluation/otsenka-nedvizhimosti/"/>
    <m/>
  </r>
  <r>
    <x v="19"/>
    <n v="30000"/>
    <m/>
    <m/>
    <m/>
    <s v="https://www.grand-real.ru/evaluation/otsenka-nedvizhimosti/"/>
    <m/>
  </r>
  <r>
    <x v="20"/>
    <n v="35000"/>
    <s v="от"/>
    <m/>
    <m/>
    <s v="https://www.grand-real.ru/evaluation/otsenka-nedvizhimosti/"/>
    <m/>
  </r>
  <r>
    <x v="21"/>
    <n v="15000"/>
    <m/>
    <m/>
    <m/>
    <s v="https://www.grand-real.ru/evaluation/otsenka-nedvizhimosti/"/>
    <m/>
  </r>
  <r>
    <x v="22"/>
    <n v="20000"/>
    <m/>
    <m/>
    <m/>
    <s v="https://www.grand-real.ru/evaluation/otsenka-nedvizhimosti/"/>
    <m/>
  </r>
  <r>
    <x v="23"/>
    <n v="25000"/>
    <m/>
    <m/>
    <m/>
    <s v="https://www.grand-real.ru/evaluation/otsenka-nedvizhimosti/"/>
    <m/>
  </r>
  <r>
    <x v="24"/>
    <n v="30000"/>
    <s v="от"/>
    <m/>
    <m/>
    <s v="https://www.grand-real.ru/evaluation/otsenka-nedvizhimosti/"/>
    <m/>
  </r>
  <r>
    <x v="25"/>
    <n v="3000"/>
    <m/>
    <m/>
    <m/>
    <s v="https://www.grand-real.ru/evaluation/otsenka-nedvizhimosti/"/>
    <m/>
  </r>
  <r>
    <x v="26"/>
    <n v="10000"/>
    <s v="от"/>
    <m/>
    <m/>
    <s v="https://www.grand-real.ru/evaluation/otsenka-nedvizhimosti/"/>
    <m/>
  </r>
  <r>
    <x v="27"/>
    <n v="1500"/>
    <m/>
    <m/>
    <m/>
    <s v="https://www.grand-real.ru/evaluation/otsenka-nedvizhimosti/"/>
    <m/>
  </r>
  <r>
    <x v="28"/>
    <n v="2000"/>
    <m/>
    <m/>
    <m/>
    <s v="https://www.grand-real.ru/evaluation/otsenka-nedvizhimosti/"/>
    <m/>
  </r>
  <r>
    <x v="29"/>
    <n v="5000"/>
    <m/>
    <m/>
    <m/>
    <s v="https://www.grand-real.ru/evaluation/otsenka-nedvizhimosti/"/>
    <m/>
  </r>
  <r>
    <x v="30"/>
    <n v="2000"/>
    <s v="от"/>
    <m/>
    <m/>
    <s v="https://www.grand-real.ru/evaluation/otsenka-nedvizhimosti/"/>
    <m/>
  </r>
  <r>
    <x v="31"/>
    <n v="500"/>
    <s v="от"/>
    <m/>
    <m/>
    <s v="https://www.grand-real.ru/evaluation/otsenka-nedvizhimosti/"/>
    <m/>
  </r>
  <r>
    <x v="32"/>
    <n v="1500"/>
    <m/>
    <m/>
    <m/>
    <s v="https://www.grand-real.ru/evaluation/otsenka-nedvizhimosti/"/>
    <s v="Не менее 17 000"/>
  </r>
  <r>
    <x v="33"/>
    <n v="5000"/>
    <m/>
    <m/>
    <m/>
    <s v="https://www.grand-real.ru/evaluation/otsenka-nedvizhimosti/"/>
    <m/>
  </r>
  <r>
    <x v="34"/>
    <n v="15000"/>
    <m/>
    <m/>
    <m/>
    <s v="https://www.grand-real.ru/evaluation/otsenka-nedvizhimosti/"/>
    <m/>
  </r>
  <r>
    <x v="35"/>
    <n v="20000"/>
    <m/>
    <m/>
    <m/>
    <s v="https://www.grand-real.ru/evaluation/otsenka-nedvizhimosti/"/>
    <m/>
  </r>
  <r>
    <x v="36"/>
    <n v="3500"/>
    <m/>
    <m/>
    <m/>
    <s v="https://www.grand-real.ru/evaluation/otsenka-nedvizhimosti/"/>
    <m/>
  </r>
  <r>
    <x v="37"/>
    <n v="5000"/>
    <m/>
    <m/>
    <m/>
    <s v="https://www.grand-real.ru/evaluation/otsenka-nedvizhimosti/"/>
    <m/>
  </r>
  <r>
    <x v="38"/>
    <n v="10000"/>
    <m/>
    <m/>
    <m/>
    <s v="https://www.grand-real.ru/evaluation/otsenka-nedvizhimosti/"/>
    <m/>
  </r>
  <r>
    <x v="39"/>
    <n v="30000"/>
    <s v="от"/>
    <m/>
    <m/>
    <s v="https://www.grand-real.ru/evaluation/otsenka-nedvizhimosti/"/>
    <m/>
  </r>
  <r>
    <x v="40"/>
    <n v="80000"/>
    <s v="от"/>
    <m/>
    <m/>
    <s v="https://www.grand-real.ru/evaluation/otsenka-nedvizhimosti/"/>
    <m/>
  </r>
  <r>
    <x v="41"/>
    <n v="200000"/>
    <s v="от"/>
    <m/>
    <m/>
    <s v="https://www.grand-real.ru/evaluation/otsenka-nedvizhimosti/"/>
    <m/>
  </r>
  <r>
    <x v="42"/>
    <n v="2500"/>
    <s v="от"/>
    <m/>
    <m/>
    <s v="https://www.grand-real.ru/evaluation/otsenka-nedvizhimosti/"/>
    <m/>
  </r>
  <r>
    <x v="0"/>
    <m/>
    <m/>
    <m/>
    <m/>
    <s v="https://urdis.ru/services/otsenka/"/>
    <m/>
  </r>
  <r>
    <x v="1"/>
    <n v="5500"/>
    <s v="от"/>
    <n v="2"/>
    <s v="от"/>
    <s v="https://urdis.ru/services/otsenka/"/>
    <m/>
  </r>
  <r>
    <x v="2"/>
    <n v="10000"/>
    <s v="от"/>
    <n v="3"/>
    <s v="от"/>
    <s v="https://urdis.ru/services/otsenka/"/>
    <m/>
  </r>
  <r>
    <x v="3"/>
    <m/>
    <m/>
    <m/>
    <m/>
    <s v="https://urdis.ru/services/otsenka/"/>
    <m/>
  </r>
  <r>
    <x v="4"/>
    <n v="12000"/>
    <s v="от"/>
    <n v="3"/>
    <s v="от"/>
    <s v="https://urdis.ru/services/otsenka/"/>
    <m/>
  </r>
  <r>
    <x v="5"/>
    <n v="15000"/>
    <s v="от"/>
    <n v="5"/>
    <s v="от"/>
    <s v="https://urdis.ru/services/otsenka/"/>
    <m/>
  </r>
  <r>
    <x v="6"/>
    <n v="15000"/>
    <s v="от"/>
    <n v="5"/>
    <s v="от"/>
    <s v="https://urdis.ru/services/otsenka/"/>
    <m/>
  </r>
  <r>
    <x v="7"/>
    <n v="18000"/>
    <s v="от"/>
    <n v="5"/>
    <s v="от"/>
    <s v="https://urdis.ru/services/otsenka/"/>
    <m/>
  </r>
  <r>
    <x v="8"/>
    <n v="25000"/>
    <s v="от"/>
    <n v="5"/>
    <s v="от"/>
    <s v="https://urdis.ru/services/otsenka/"/>
    <m/>
  </r>
  <r>
    <x v="9"/>
    <n v="35000"/>
    <s v="от"/>
    <n v="7"/>
    <s v="от"/>
    <s v="https://urdis.ru/services/otsenka/"/>
    <m/>
  </r>
  <r>
    <x v="10"/>
    <m/>
    <m/>
    <m/>
    <m/>
    <s v="https://urdis.ru/services/otsenka/"/>
    <m/>
  </r>
  <r>
    <x v="11"/>
    <n v="35000"/>
    <s v="от"/>
    <n v="10"/>
    <s v="от"/>
    <s v="https://urdis.ru/services/otsenka/"/>
    <m/>
  </r>
  <r>
    <x v="12"/>
    <n v="65000"/>
    <s v="от"/>
    <n v="14"/>
    <s v="от"/>
    <s v="https://urdis.ru/services/otsenka/"/>
    <m/>
  </r>
  <r>
    <x v="13"/>
    <m/>
    <m/>
    <m/>
    <m/>
    <s v="https://urdis.ru/services/otsenka/"/>
    <m/>
  </r>
  <r>
    <x v="14"/>
    <n v="60000"/>
    <s v="от"/>
    <n v="5"/>
    <s v="от"/>
    <s v="https://urdis.ru/services/otsenka/"/>
    <m/>
  </r>
  <r>
    <x v="15"/>
    <n v="85000"/>
    <s v="от"/>
    <n v="5"/>
    <s v="от"/>
    <s v="https://urdis.ru/services/otsenka/"/>
    <m/>
  </r>
  <r>
    <x v="16"/>
    <n v="18000"/>
    <s v="от"/>
    <n v="7"/>
    <s v="от"/>
    <s v="https://urdis.ru/services/otsenka/"/>
    <m/>
  </r>
  <r>
    <x v="17"/>
    <n v="25000"/>
    <s v="от"/>
    <n v="10"/>
    <s v="от"/>
    <s v="https://urdis.ru/services/otsenka/"/>
    <m/>
  </r>
  <r>
    <x v="18"/>
    <m/>
    <m/>
    <m/>
    <m/>
    <s v="https://urdis.ru/services/otsenka/"/>
    <m/>
  </r>
  <r>
    <x v="19"/>
    <m/>
    <m/>
    <m/>
    <m/>
    <s v="https://urdis.ru/services/otsenka/"/>
    <m/>
  </r>
  <r>
    <x v="20"/>
    <m/>
    <m/>
    <m/>
    <m/>
    <s v="https://urdis.ru/services/otsenka/"/>
    <m/>
  </r>
  <r>
    <x v="21"/>
    <n v="25000"/>
    <s v="от"/>
    <n v="5"/>
    <s v="от"/>
    <s v="https://urdis.ru/services/otsenka/"/>
    <m/>
  </r>
  <r>
    <x v="22"/>
    <n v="40000"/>
    <s v="от"/>
    <n v="5"/>
    <s v="от"/>
    <s v="https://urdis.ru/services/otsenka/"/>
    <m/>
  </r>
  <r>
    <x v="23"/>
    <n v="70000"/>
    <s v="от"/>
    <n v="5"/>
    <s v="от"/>
    <s v="https://urdis.ru/services/otsenka/"/>
    <m/>
  </r>
  <r>
    <x v="24"/>
    <n v="80000"/>
    <s v="от"/>
    <n v="7"/>
    <s v="от"/>
    <s v="https://urdis.ru/services/otsenka/"/>
    <m/>
  </r>
  <r>
    <x v="25"/>
    <n v="6000"/>
    <s v="от"/>
    <n v="3"/>
    <s v="от"/>
    <s v="https://urdis.ru/services/otsenka/"/>
    <m/>
  </r>
  <r>
    <x v="26"/>
    <m/>
    <m/>
    <m/>
    <m/>
    <s v="https://urdis.ru/services/otsenka/"/>
    <m/>
  </r>
  <r>
    <x v="27"/>
    <n v="6000"/>
    <m/>
    <n v="2"/>
    <s v="от"/>
    <s v="https://urdis.ru/services/otsenka/"/>
    <m/>
  </r>
  <r>
    <x v="28"/>
    <n v="6000"/>
    <m/>
    <n v="2"/>
    <s v="от"/>
    <s v="https://urdis.ru/services/otsenka/"/>
    <m/>
  </r>
  <r>
    <x v="29"/>
    <n v="10000"/>
    <m/>
    <n v="3"/>
    <s v="от"/>
    <s v="https://urdis.ru/services/otsenka/"/>
    <m/>
  </r>
  <r>
    <x v="30"/>
    <m/>
    <m/>
    <m/>
    <m/>
    <s v="https://urdis.ru/services/otsenka/"/>
    <m/>
  </r>
  <r>
    <x v="31"/>
    <m/>
    <m/>
    <m/>
    <m/>
    <s v="https://urdis.ru/services/otsenka/"/>
    <m/>
  </r>
  <r>
    <x v="32"/>
    <n v="200"/>
    <s v="При заказе от 500 ед."/>
    <m/>
    <m/>
    <s v="https://urdis.ru/services/otsenka/"/>
    <s v="Не менее 17 000"/>
  </r>
  <r>
    <x v="33"/>
    <n v="10000"/>
    <s v="от"/>
    <n v="3"/>
    <s v="от"/>
    <s v="https://urdis.ru/services/otsenka/"/>
    <m/>
  </r>
  <r>
    <x v="34"/>
    <n v="20000"/>
    <s v="от"/>
    <n v="7"/>
    <s v="от"/>
    <s v="https://urdis.ru/services/otsenka/"/>
    <m/>
  </r>
  <r>
    <x v="35"/>
    <n v="25000"/>
    <s v="от"/>
    <n v="7"/>
    <s v="от"/>
    <s v="https://urdis.ru/services/otsenka/"/>
    <m/>
  </r>
  <r>
    <x v="36"/>
    <n v="5000"/>
    <s v="от"/>
    <n v="2"/>
    <s v="от"/>
    <s v="https://urdis.ru/services/otsenka/"/>
    <m/>
  </r>
  <r>
    <x v="37"/>
    <m/>
    <m/>
    <m/>
    <m/>
    <s v="https://urdis.ru/services/otsenka/"/>
    <m/>
  </r>
  <r>
    <x v="38"/>
    <m/>
    <m/>
    <m/>
    <m/>
    <s v="https://urdis.ru/services/otsenka/"/>
    <m/>
  </r>
  <r>
    <x v="39"/>
    <n v="40000"/>
    <s v="от"/>
    <n v="10"/>
    <s v="от"/>
    <s v="https://urdis.ru/services/otsenka/"/>
    <m/>
  </r>
  <r>
    <x v="40"/>
    <n v="60000"/>
    <m/>
    <n v="14"/>
    <s v="от"/>
    <s v="https://urdis.ru/services/otsenka/"/>
    <m/>
  </r>
  <r>
    <x v="41"/>
    <m/>
    <m/>
    <n v="20"/>
    <s v="от"/>
    <s v="https://urdis.ru/services/otsenka/"/>
    <m/>
  </r>
  <r>
    <x v="42"/>
    <n v="40000"/>
    <s v="от"/>
    <n v="14"/>
    <s v="от"/>
    <s v="https://urdis.ru/services/otsenka/"/>
    <m/>
  </r>
  <r>
    <x v="43"/>
    <n v="20000"/>
    <s v="от"/>
    <m/>
    <m/>
    <s v="https://urdis.ru/services/otsenka/"/>
    <m/>
  </r>
  <r>
    <x v="44"/>
    <n v="35000"/>
    <s v="от"/>
    <m/>
    <m/>
    <s v="https://urdis.ru/services/otsenka/"/>
    <m/>
  </r>
  <r>
    <x v="0"/>
    <n v="6500"/>
    <s v="от"/>
    <n v="1"/>
    <s v="от"/>
    <s v="https://www.uphill.ru/price/"/>
    <m/>
  </r>
  <r>
    <x v="1"/>
    <n v="6500"/>
    <s v="от"/>
    <n v="1"/>
    <s v="от"/>
    <s v="https://www.uphill.ru/price/"/>
    <m/>
  </r>
  <r>
    <x v="2"/>
    <n v="7000"/>
    <s v="от"/>
    <n v="1"/>
    <s v="от"/>
    <s v="https://www.uphill.ru/price/"/>
    <m/>
  </r>
  <r>
    <x v="3"/>
    <m/>
    <m/>
    <m/>
    <m/>
    <s v="https://www.uphill.ru/price/"/>
    <m/>
  </r>
  <r>
    <x v="4"/>
    <n v="14000"/>
    <m/>
    <m/>
    <m/>
    <s v="https://www.uphill.ru/price/"/>
    <m/>
  </r>
  <r>
    <x v="5"/>
    <n v="18000"/>
    <m/>
    <m/>
    <m/>
    <s v="https://www.uphill.ru/price/"/>
    <m/>
  </r>
  <r>
    <x v="6"/>
    <n v="14000"/>
    <s v="от"/>
    <n v="1"/>
    <s v="от"/>
    <s v="https://www.uphill.ru/price/"/>
    <m/>
  </r>
  <r>
    <x v="7"/>
    <n v="18000"/>
    <s v="от"/>
    <n v="1"/>
    <s v="от"/>
    <s v="https://www.uphill.ru/price/"/>
    <m/>
  </r>
  <r>
    <x v="8"/>
    <n v="20000"/>
    <s v="от"/>
    <n v="1"/>
    <s v="от"/>
    <s v="https://www.uphill.ru/price/"/>
    <m/>
  </r>
  <r>
    <x v="9"/>
    <n v="25000"/>
    <s v="от"/>
    <n v="1"/>
    <s v="от"/>
    <s v="https://www.uphill.ru/price/"/>
    <m/>
  </r>
  <r>
    <x v="10"/>
    <m/>
    <m/>
    <m/>
    <m/>
    <s v="https://www.uphill.ru/price/"/>
    <m/>
  </r>
  <r>
    <x v="11"/>
    <n v="30000"/>
    <s v="от"/>
    <n v="2"/>
    <s v="от"/>
    <s v="https://www.uphill.ru/price/"/>
    <m/>
  </r>
  <r>
    <x v="12"/>
    <n v="88000"/>
    <s v="от"/>
    <n v="2"/>
    <s v="от"/>
    <s v="https://www.uphill.ru/price/"/>
    <m/>
  </r>
  <r>
    <x v="13"/>
    <m/>
    <m/>
    <m/>
    <m/>
    <s v="https://www.uphill.ru/price/"/>
    <m/>
  </r>
  <r>
    <x v="14"/>
    <n v="30000"/>
    <s v="от"/>
    <n v="2"/>
    <s v="от"/>
    <s v="https://www.uphill.ru/price/"/>
    <m/>
  </r>
  <r>
    <x v="15"/>
    <n v="66000"/>
    <s v="от"/>
    <n v="2"/>
    <s v="от"/>
    <s v="https://www.uphill.ru/price/"/>
    <m/>
  </r>
  <r>
    <x v="16"/>
    <n v="28000"/>
    <s v="от"/>
    <n v="2"/>
    <s v="от"/>
    <s v="https://www.uphill.ru/price/"/>
    <m/>
  </r>
  <r>
    <x v="17"/>
    <n v="38000"/>
    <s v="от"/>
    <n v="2"/>
    <s v="от"/>
    <s v="https://www.uphill.ru/price/"/>
    <m/>
  </r>
  <r>
    <x v="18"/>
    <n v="55000"/>
    <s v="от"/>
    <n v="2"/>
    <s v="от"/>
    <s v="https://www.uphill.ru/price/"/>
    <m/>
  </r>
  <r>
    <x v="19"/>
    <n v="75000"/>
    <s v="от"/>
    <n v="2"/>
    <s v="от"/>
    <s v="https://www.uphill.ru/price/"/>
    <m/>
  </r>
  <r>
    <x v="20"/>
    <n v="98000"/>
    <s v="от"/>
    <n v="3"/>
    <s v="от"/>
    <s v="https://www.uphill.ru/price/"/>
    <m/>
  </r>
  <r>
    <x v="21"/>
    <n v="38000"/>
    <s v="от"/>
    <n v="2"/>
    <s v="от"/>
    <s v="https://www.uphill.ru/price/"/>
    <m/>
  </r>
  <r>
    <x v="22"/>
    <n v="55000"/>
    <s v="от"/>
    <n v="2"/>
    <s v="от"/>
    <s v="https://www.uphill.ru/price/"/>
    <m/>
  </r>
  <r>
    <x v="23"/>
    <n v="75000"/>
    <s v="от"/>
    <n v="2"/>
    <s v="от"/>
    <s v="https://www.uphill.ru/price/"/>
    <m/>
  </r>
  <r>
    <x v="45"/>
    <n v="98000"/>
    <s v="от"/>
    <n v="3"/>
    <s v="от"/>
    <s v="https://www.uphill.ru/price/"/>
    <m/>
  </r>
  <r>
    <x v="25"/>
    <m/>
    <m/>
    <m/>
    <m/>
    <s v="https://www.uphill.ru/price/"/>
    <m/>
  </r>
  <r>
    <x v="26"/>
    <n v="28000"/>
    <s v="от"/>
    <n v="2"/>
    <s v="от"/>
    <s v="https://www.uphill.ru/price/"/>
    <m/>
  </r>
  <r>
    <x v="27"/>
    <n v="5000"/>
    <s v="от"/>
    <m/>
    <s v="от"/>
    <s v="https://www.uphill.ru/price/"/>
    <m/>
  </r>
  <r>
    <x v="28"/>
    <n v="5000"/>
    <s v="от"/>
    <m/>
    <s v="от"/>
    <s v="https://www.uphill.ru/price/"/>
    <m/>
  </r>
  <r>
    <x v="29"/>
    <n v="5000"/>
    <s v="от"/>
    <m/>
    <s v="от"/>
    <s v="https://www.uphill.ru/price/"/>
    <m/>
  </r>
  <r>
    <x v="30"/>
    <m/>
    <m/>
    <m/>
    <m/>
    <s v="https://www.uphill.ru/price/"/>
    <m/>
  </r>
  <r>
    <x v="31"/>
    <m/>
    <m/>
    <m/>
    <m/>
    <s v="https://www.uphill.ru/price/"/>
    <m/>
  </r>
  <r>
    <x v="32"/>
    <n v="300"/>
    <s v="Не менее 17 000"/>
    <m/>
    <m/>
    <s v="https://www.uphill.ru/price/"/>
    <m/>
  </r>
  <r>
    <x v="33"/>
    <n v="23000"/>
    <s v="от"/>
    <m/>
    <m/>
    <s v="https://www.uphill.ru/price/"/>
    <m/>
  </r>
  <r>
    <x v="34"/>
    <n v="50000"/>
    <s v="от"/>
    <n v="3"/>
    <s v="от"/>
    <s v="https://www.uphill.ru/price/"/>
    <m/>
  </r>
  <r>
    <x v="35"/>
    <n v="70000"/>
    <s v="от"/>
    <m/>
    <m/>
    <s v="https://www.uphill.ru/price/"/>
    <m/>
  </r>
  <r>
    <x v="36"/>
    <m/>
    <m/>
    <m/>
    <m/>
    <s v="https://www.uphill.ru/price/"/>
    <m/>
  </r>
  <r>
    <x v="37"/>
    <m/>
    <m/>
    <m/>
    <m/>
    <s v="https://www.uphill.ru/price/"/>
    <m/>
  </r>
  <r>
    <x v="38"/>
    <n v="45000"/>
    <s v="от"/>
    <n v="7"/>
    <s v="от"/>
    <s v="https://www.uphill.ru/price/"/>
    <m/>
  </r>
  <r>
    <x v="39"/>
    <n v="45000"/>
    <s v="от"/>
    <n v="7"/>
    <s v="от"/>
    <s v="https://www.uphill.ru/price/"/>
    <m/>
  </r>
  <r>
    <x v="40"/>
    <n v="60000"/>
    <s v="от"/>
    <n v="7"/>
    <s v="от"/>
    <s v="https://www.uphill.ru/price/"/>
    <m/>
  </r>
  <r>
    <x v="41"/>
    <n v="120000"/>
    <s v="от"/>
    <n v="7"/>
    <s v="от"/>
    <s v="https://www.uphill.ru/price/"/>
    <m/>
  </r>
  <r>
    <x v="42"/>
    <m/>
    <m/>
    <m/>
    <m/>
    <s v="https://www.uphill.ru/price/"/>
    <m/>
  </r>
  <r>
    <x v="43"/>
    <m/>
    <m/>
    <m/>
    <m/>
    <s v="https://www.uphill.ru/price/"/>
    <m/>
  </r>
  <r>
    <x v="44"/>
    <n v="35000"/>
    <s v="от"/>
    <n v="5"/>
    <s v="от"/>
    <s v="https://www.uphill.ru/price/"/>
    <m/>
  </r>
  <r>
    <x v="46"/>
    <n v="30000"/>
    <s v="от"/>
    <n v="2"/>
    <s v="от"/>
    <s v="https://www.uphill.ru/price/"/>
    <m/>
  </r>
  <r>
    <x v="47"/>
    <n v="25000"/>
    <s v="от"/>
    <n v="2"/>
    <s v="от"/>
    <s v="https://www.uphill.ru/price/"/>
    <m/>
  </r>
  <r>
    <x v="48"/>
    <n v="40000"/>
    <s v="от"/>
    <n v="2"/>
    <s v="от"/>
    <s v="https://www.uphill.ru/price/"/>
    <m/>
  </r>
  <r>
    <x v="49"/>
    <n v="30000"/>
    <s v="от"/>
    <n v="2"/>
    <s v="от"/>
    <s v="https://www.uphill.ru/price/"/>
    <m/>
  </r>
  <r>
    <x v="50"/>
    <n v="60000"/>
    <s v="от"/>
    <n v="2"/>
    <s v="от"/>
    <s v="https://www.uphill.ru/price/"/>
    <m/>
  </r>
  <r>
    <x v="51"/>
    <n v="20000"/>
    <s v="от"/>
    <n v="2"/>
    <s v="от"/>
    <s v="https://www.uphill.ru/price/"/>
    <m/>
  </r>
  <r>
    <x v="52"/>
    <n v="18000"/>
    <s v="от"/>
    <n v="2"/>
    <s v="от"/>
    <s v="https://www.uphill.ru/price/"/>
    <m/>
  </r>
  <r>
    <x v="53"/>
    <n v="28000"/>
    <s v="от"/>
    <n v="2"/>
    <s v="от"/>
    <s v="https://www.uphill.ru/price/"/>
    <m/>
  </r>
  <r>
    <x v="54"/>
    <n v="45000"/>
    <s v="от"/>
    <n v="2"/>
    <s v="от"/>
    <s v="https://www.uphill.ru/price/"/>
    <m/>
  </r>
  <r>
    <x v="55"/>
    <n v="60000"/>
    <s v="от"/>
    <n v="2"/>
    <s v="от"/>
    <s v="https://www.uphill.ru/price/"/>
    <m/>
  </r>
  <r>
    <x v="56"/>
    <n v="85000"/>
    <s v="от"/>
    <n v="2"/>
    <s v="от"/>
    <s v="https://www.uphill.ru/price/"/>
    <m/>
  </r>
  <r>
    <x v="0"/>
    <m/>
    <m/>
    <m/>
    <m/>
    <s v="https://expo-msk.ru/price/1/"/>
    <m/>
  </r>
  <r>
    <x v="1"/>
    <n v="4000"/>
    <s v="от"/>
    <n v="1"/>
    <s v="от"/>
    <s v="https://expo-msk.ru/price/1/"/>
    <m/>
  </r>
  <r>
    <x v="2"/>
    <n v="5000"/>
    <s v="от"/>
    <n v="1"/>
    <s v="от"/>
    <s v="https://expo-msk.ru/price/1/"/>
    <m/>
  </r>
  <r>
    <x v="3"/>
    <m/>
    <m/>
    <m/>
    <m/>
    <s v="https://expo-msk.ru/price/1/"/>
    <m/>
  </r>
  <r>
    <x v="4"/>
    <m/>
    <m/>
    <m/>
    <m/>
    <s v="https://expo-msk.ru/price/1/"/>
    <m/>
  </r>
  <r>
    <x v="5"/>
    <m/>
    <m/>
    <m/>
    <m/>
    <s v="https://expo-msk.ru/price/1/"/>
    <m/>
  </r>
  <r>
    <x v="6"/>
    <m/>
    <m/>
    <m/>
    <m/>
    <s v="https://expo-msk.ru/price/1/"/>
    <m/>
  </r>
  <r>
    <x v="7"/>
    <m/>
    <m/>
    <m/>
    <m/>
    <s v="https://expo-msk.ru/price/1/"/>
    <m/>
  </r>
  <r>
    <x v="8"/>
    <m/>
    <m/>
    <m/>
    <m/>
    <s v="https://expo-msk.ru/price/1/"/>
    <m/>
  </r>
  <r>
    <x v="9"/>
    <m/>
    <m/>
    <m/>
    <m/>
    <s v="https://expo-msk.ru/price/1/"/>
    <m/>
  </r>
  <r>
    <x v="10"/>
    <m/>
    <m/>
    <m/>
    <m/>
    <s v="https://expo-msk.ru/price/1/"/>
    <m/>
  </r>
  <r>
    <x v="11"/>
    <m/>
    <m/>
    <m/>
    <m/>
    <s v="https://expo-msk.ru/price/1/"/>
    <m/>
  </r>
  <r>
    <x v="12"/>
    <m/>
    <m/>
    <m/>
    <m/>
    <s v="https://expo-msk.ru/price/1/"/>
    <m/>
  </r>
  <r>
    <x v="13"/>
    <n v="10000"/>
    <s v="от"/>
    <m/>
    <m/>
    <s v="https://expo-msk.ru/price/1/"/>
    <m/>
  </r>
  <r>
    <x v="14"/>
    <m/>
    <m/>
    <m/>
    <m/>
    <s v="https://expo-msk.ru/price/1/"/>
    <m/>
  </r>
  <r>
    <x v="15"/>
    <m/>
    <m/>
    <m/>
    <m/>
    <s v="https://expo-msk.ru/price/1/"/>
    <m/>
  </r>
  <r>
    <x v="16"/>
    <m/>
    <m/>
    <m/>
    <m/>
    <s v="https://expo-msk.ru/price/1/"/>
    <m/>
  </r>
  <r>
    <x v="17"/>
    <m/>
    <m/>
    <m/>
    <m/>
    <s v="https://expo-msk.ru/price/1/"/>
    <m/>
  </r>
  <r>
    <x v="18"/>
    <m/>
    <m/>
    <m/>
    <m/>
    <s v="https://expo-msk.ru/price/1/"/>
    <m/>
  </r>
  <r>
    <x v="19"/>
    <m/>
    <m/>
    <m/>
    <m/>
    <s v="https://expo-msk.ru/price/1/"/>
    <m/>
  </r>
  <r>
    <x v="20"/>
    <m/>
    <m/>
    <m/>
    <m/>
    <s v="https://expo-msk.ru/price/1/"/>
    <m/>
  </r>
  <r>
    <x v="21"/>
    <m/>
    <m/>
    <m/>
    <m/>
    <s v="https://expo-msk.ru/price/1/"/>
    <m/>
  </r>
  <r>
    <x v="22"/>
    <m/>
    <m/>
    <m/>
    <m/>
    <s v="https://expo-msk.ru/price/1/"/>
    <m/>
  </r>
  <r>
    <x v="23"/>
    <m/>
    <m/>
    <m/>
    <m/>
    <s v="https://expo-msk.ru/price/1/"/>
    <m/>
  </r>
  <r>
    <x v="45"/>
    <m/>
    <m/>
    <m/>
    <m/>
    <s v="https://expo-msk.ru/price/1/"/>
    <m/>
  </r>
  <r>
    <x v="25"/>
    <m/>
    <m/>
    <m/>
    <m/>
    <s v="https://expo-msk.ru/price/1/"/>
    <m/>
  </r>
  <r>
    <x v="26"/>
    <m/>
    <m/>
    <m/>
    <m/>
    <s v="https://expo-msk.ru/price/1/"/>
    <m/>
  </r>
  <r>
    <x v="27"/>
    <m/>
    <m/>
    <m/>
    <m/>
    <s v="https://expo-msk.ru/price/1/"/>
    <m/>
  </r>
  <r>
    <x v="28"/>
    <m/>
    <m/>
    <m/>
    <m/>
    <s v="https://expo-msk.ru/price/1/"/>
    <m/>
  </r>
  <r>
    <x v="29"/>
    <m/>
    <m/>
    <m/>
    <m/>
    <s v="https://expo-msk.ru/price/1/"/>
    <m/>
  </r>
  <r>
    <x v="30"/>
    <m/>
    <m/>
    <m/>
    <m/>
    <s v="https://expo-msk.ru/price/1/"/>
    <m/>
  </r>
  <r>
    <x v="31"/>
    <m/>
    <m/>
    <m/>
    <m/>
    <s v="https://expo-msk.ru/price/1/"/>
    <m/>
  </r>
  <r>
    <x v="32"/>
    <n v="2500"/>
    <s v="от"/>
    <n v="1"/>
    <s v="от"/>
    <s v="https://expo-msk.ru/price/1/"/>
    <m/>
  </r>
  <r>
    <x v="33"/>
    <m/>
    <m/>
    <m/>
    <m/>
    <s v="https://expo-msk.ru/price/1/"/>
    <m/>
  </r>
  <r>
    <x v="34"/>
    <m/>
    <m/>
    <m/>
    <m/>
    <s v="https://expo-msk.ru/price/1/"/>
    <m/>
  </r>
  <r>
    <x v="35"/>
    <m/>
    <m/>
    <m/>
    <m/>
    <s v="https://expo-msk.ru/price/1/"/>
    <m/>
  </r>
  <r>
    <x v="36"/>
    <m/>
    <m/>
    <m/>
    <m/>
    <s v="https://expo-msk.ru/price/1/"/>
    <m/>
  </r>
  <r>
    <x v="37"/>
    <m/>
    <m/>
    <m/>
    <m/>
    <s v="https://expo-msk.ru/price/1/"/>
    <m/>
  </r>
  <r>
    <x v="38"/>
    <m/>
    <m/>
    <m/>
    <m/>
    <s v="https://expo-msk.ru/price/1/"/>
    <m/>
  </r>
  <r>
    <x v="39"/>
    <n v="8000"/>
    <s v="от"/>
    <n v="2"/>
    <s v="от"/>
    <s v="https://expo-msk.ru/price/1/"/>
    <m/>
  </r>
  <r>
    <x v="40"/>
    <m/>
    <m/>
    <m/>
    <m/>
    <s v="https://expo-msk.ru/price/1/"/>
    <m/>
  </r>
  <r>
    <x v="41"/>
    <m/>
    <m/>
    <m/>
    <m/>
    <s v="https://expo-msk.ru/price/1/"/>
    <m/>
  </r>
  <r>
    <x v="42"/>
    <n v="10000"/>
    <s v="от"/>
    <n v="10"/>
    <s v="от"/>
    <s v="https://expo-msk.ru/price/1/"/>
    <m/>
  </r>
  <r>
    <x v="43"/>
    <m/>
    <m/>
    <m/>
    <m/>
    <s v="https://expo-msk.ru/price/1/"/>
    <m/>
  </r>
  <r>
    <x v="44"/>
    <m/>
    <m/>
    <m/>
    <m/>
    <s v="https://expo-msk.ru/price/1/"/>
    <m/>
  </r>
  <r>
    <x v="46"/>
    <m/>
    <m/>
    <m/>
    <m/>
    <s v="https://expo-msk.ru/price/1/"/>
    <m/>
  </r>
  <r>
    <x v="47"/>
    <m/>
    <m/>
    <m/>
    <m/>
    <s v="https://expo-msk.ru/price/1/"/>
    <m/>
  </r>
  <r>
    <x v="48"/>
    <m/>
    <m/>
    <m/>
    <m/>
    <s v="https://expo-msk.ru/price/1/"/>
    <m/>
  </r>
  <r>
    <x v="49"/>
    <m/>
    <m/>
    <m/>
    <m/>
    <s v="https://expo-msk.ru/price/1/"/>
    <m/>
  </r>
  <r>
    <x v="50"/>
    <m/>
    <m/>
    <m/>
    <m/>
    <s v="https://expo-msk.ru/price/1/"/>
    <m/>
  </r>
  <r>
    <x v="51"/>
    <m/>
    <m/>
    <m/>
    <m/>
    <s v="https://expo-msk.ru/price/1/"/>
    <m/>
  </r>
  <r>
    <x v="52"/>
    <m/>
    <m/>
    <m/>
    <m/>
    <s v="https://expo-msk.ru/price/1/"/>
    <m/>
  </r>
  <r>
    <x v="53"/>
    <m/>
    <m/>
    <m/>
    <m/>
    <s v="https://expo-msk.ru/price/1/"/>
    <m/>
  </r>
  <r>
    <x v="54"/>
    <m/>
    <m/>
    <m/>
    <m/>
    <s v="https://expo-msk.ru/price/1/"/>
    <m/>
  </r>
  <r>
    <x v="55"/>
    <m/>
    <m/>
    <m/>
    <m/>
    <s v="https://expo-msk.ru/price/1/"/>
    <m/>
  </r>
  <r>
    <x v="56"/>
    <m/>
    <m/>
    <m/>
    <m/>
    <s v="https://expo-msk.ru/price/1/"/>
    <m/>
  </r>
  <r>
    <x v="0"/>
    <m/>
    <m/>
    <m/>
    <m/>
    <s v="https://xn----8sb3afbigexm.xn--p1ai/price/"/>
    <m/>
  </r>
  <r>
    <x v="1"/>
    <n v="3000"/>
    <s v="от"/>
    <n v="1"/>
    <s v="от"/>
    <s v="https://xn----8sb3afbigexm.xn--p1ai/price/"/>
    <m/>
  </r>
  <r>
    <x v="2"/>
    <m/>
    <m/>
    <m/>
    <m/>
    <s v="https://xn----8sb3afbigexm.xn--p1ai/price/"/>
    <m/>
  </r>
  <r>
    <x v="3"/>
    <m/>
    <m/>
    <m/>
    <m/>
    <s v="https://xn----8sb3afbigexm.xn--p1ai/price/"/>
    <m/>
  </r>
  <r>
    <x v="4"/>
    <m/>
    <m/>
    <m/>
    <m/>
    <s v="https://xn----8sb3afbigexm.xn--p1ai/price/"/>
    <m/>
  </r>
  <r>
    <x v="5"/>
    <m/>
    <m/>
    <m/>
    <m/>
    <s v="https://xn----8sb3afbigexm.xn--p1ai/price/"/>
    <m/>
  </r>
  <r>
    <x v="6"/>
    <m/>
    <m/>
    <m/>
    <m/>
    <s v="https://xn----8sb3afbigexm.xn--p1ai/price/"/>
    <m/>
  </r>
  <r>
    <x v="7"/>
    <m/>
    <m/>
    <m/>
    <m/>
    <s v="https://xn----8sb3afbigexm.xn--p1ai/price/"/>
    <m/>
  </r>
  <r>
    <x v="8"/>
    <m/>
    <m/>
    <m/>
    <m/>
    <s v="https://xn----8sb3afbigexm.xn--p1ai/price/"/>
    <m/>
  </r>
  <r>
    <x v="9"/>
    <m/>
    <m/>
    <m/>
    <m/>
    <s v="https://xn----8sb3afbigexm.xn--p1ai/price/"/>
    <m/>
  </r>
  <r>
    <x v="10"/>
    <m/>
    <m/>
    <m/>
    <m/>
    <s v="https://xn----8sb3afbigexm.xn--p1ai/price/"/>
    <m/>
  </r>
  <r>
    <x v="11"/>
    <m/>
    <m/>
    <m/>
    <m/>
    <s v="https://xn----8sb3afbigexm.xn--p1ai/price/"/>
    <m/>
  </r>
  <r>
    <x v="12"/>
    <m/>
    <m/>
    <m/>
    <m/>
    <s v="https://xn----8sb3afbigexm.xn--p1ai/price/"/>
    <m/>
  </r>
  <r>
    <x v="13"/>
    <m/>
    <m/>
    <m/>
    <m/>
    <s v="https://xn----8sb3afbigexm.xn--p1ai/price/"/>
    <m/>
  </r>
  <r>
    <x v="14"/>
    <n v="10000"/>
    <s v="от"/>
    <n v="1"/>
    <s v="от"/>
    <s v="https://xn----8sb3afbigexm.xn--p1ai/price/"/>
    <m/>
  </r>
  <r>
    <x v="15"/>
    <m/>
    <m/>
    <m/>
    <m/>
    <s v="https://xn----8sb3afbigexm.xn--p1ai/price/"/>
    <m/>
  </r>
  <r>
    <x v="16"/>
    <n v="5000"/>
    <s v="от"/>
    <n v="1"/>
    <s v="от"/>
    <s v="https://xn----8sb3afbigexm.xn--p1ai/price/"/>
    <m/>
  </r>
  <r>
    <x v="17"/>
    <m/>
    <m/>
    <m/>
    <m/>
    <s v="https://xn----8sb3afbigexm.xn--p1ai/price/"/>
    <m/>
  </r>
  <r>
    <x v="18"/>
    <m/>
    <m/>
    <m/>
    <m/>
    <s v="https://xn----8sb3afbigexm.xn--p1ai/price/"/>
    <m/>
  </r>
  <r>
    <x v="19"/>
    <m/>
    <m/>
    <m/>
    <m/>
    <s v="https://xn----8sb3afbigexm.xn--p1ai/price/"/>
    <m/>
  </r>
  <r>
    <x v="20"/>
    <m/>
    <m/>
    <m/>
    <m/>
    <s v="https://xn----8sb3afbigexm.xn--p1ai/price/"/>
    <m/>
  </r>
  <r>
    <x v="21"/>
    <m/>
    <m/>
    <m/>
    <m/>
    <s v="https://xn----8sb3afbigexm.xn--p1ai/price/"/>
    <m/>
  </r>
  <r>
    <x v="22"/>
    <m/>
    <m/>
    <m/>
    <m/>
    <s v="https://xn----8sb3afbigexm.xn--p1ai/price/"/>
    <m/>
  </r>
  <r>
    <x v="23"/>
    <m/>
    <m/>
    <m/>
    <m/>
    <s v="https://xn----8sb3afbigexm.xn--p1ai/price/"/>
    <m/>
  </r>
  <r>
    <x v="45"/>
    <m/>
    <m/>
    <m/>
    <m/>
    <s v="https://xn----8sb3afbigexm.xn--p1ai/price/"/>
    <m/>
  </r>
  <r>
    <x v="25"/>
    <m/>
    <m/>
    <m/>
    <m/>
    <s v="https://xn----8sb3afbigexm.xn--p1ai/price/"/>
    <m/>
  </r>
  <r>
    <x v="26"/>
    <m/>
    <m/>
    <m/>
    <m/>
    <s v="https://xn----8sb3afbigexm.xn--p1ai/price/"/>
    <m/>
  </r>
  <r>
    <x v="27"/>
    <n v="3000"/>
    <s v="от"/>
    <n v="1"/>
    <s v="от"/>
    <s v="https://xn----8sb3afbigexm.xn--p1ai/price/"/>
    <m/>
  </r>
  <r>
    <x v="28"/>
    <n v="3000"/>
    <s v="от"/>
    <n v="1"/>
    <s v="от"/>
    <s v="https://xn----8sb3afbigexm.xn--p1ai/price/"/>
    <m/>
  </r>
  <r>
    <x v="29"/>
    <n v="3000"/>
    <s v="от"/>
    <n v="1"/>
    <s v="от"/>
    <s v="https://xn----8sb3afbigexm.xn--p1ai/price/"/>
    <m/>
  </r>
  <r>
    <x v="30"/>
    <n v="10000"/>
    <s v="от"/>
    <n v="5"/>
    <s v="от"/>
    <s v="https://xn----8sb3afbigexm.xn--p1ai/price/"/>
    <m/>
  </r>
  <r>
    <x v="31"/>
    <m/>
    <m/>
    <m/>
    <m/>
    <s v="https://xn----8sb3afbigexm.xn--p1ai/price/"/>
    <m/>
  </r>
  <r>
    <x v="32"/>
    <n v="10000"/>
    <s v="от"/>
    <n v="3"/>
    <s v="от"/>
    <s v="https://xn----8sb3afbigexm.xn--p1ai/price/"/>
    <m/>
  </r>
  <r>
    <x v="33"/>
    <n v="3000"/>
    <s v="от"/>
    <n v="1"/>
    <s v="от"/>
    <s v="https://xn----8sb3afbigexm.xn--p1ai/price/"/>
    <m/>
  </r>
  <r>
    <x v="34"/>
    <n v="30000"/>
    <s v="от"/>
    <n v="3"/>
    <s v="от"/>
    <s v="https://xn----8sb3afbigexm.xn--p1ai/price/"/>
    <m/>
  </r>
  <r>
    <x v="35"/>
    <n v="15000"/>
    <s v="от"/>
    <n v="3"/>
    <s v="от"/>
    <s v="https://xn----8sb3afbigexm.xn--p1ai/price/"/>
    <m/>
  </r>
  <r>
    <x v="36"/>
    <n v="15000"/>
    <s v="от"/>
    <n v="3"/>
    <s v="от"/>
    <s v="https://xn----8sb3afbigexm.xn--p1ai/price/"/>
    <m/>
  </r>
  <r>
    <x v="37"/>
    <n v="15000"/>
    <s v="от"/>
    <n v="3"/>
    <s v="от"/>
    <s v="https://xn----8sb3afbigexm.xn--p1ai/price/"/>
    <m/>
  </r>
  <r>
    <x v="38"/>
    <n v="25000"/>
    <s v="от"/>
    <n v="3"/>
    <s v="от"/>
    <s v="https://xn----8sb3afbigexm.xn--p1ai/price/"/>
    <m/>
  </r>
  <r>
    <x v="39"/>
    <n v="30000"/>
    <s v="от"/>
    <n v="3"/>
    <s v="от"/>
    <s v="https://xn----8sb3afbigexm.xn--p1ai/price/"/>
    <m/>
  </r>
  <r>
    <x v="40"/>
    <n v="80000"/>
    <s v="от"/>
    <n v="3"/>
    <s v="от"/>
    <s v="https://xn----8sb3afbigexm.xn--p1ai/price/"/>
    <m/>
  </r>
  <r>
    <x v="41"/>
    <n v="200000"/>
    <s v="от"/>
    <n v="3"/>
    <s v="от"/>
    <s v="https://xn----8sb3afbigexm.xn--p1ai/price/"/>
    <m/>
  </r>
  <r>
    <x v="42"/>
    <m/>
    <m/>
    <m/>
    <m/>
    <s v="https://xn----8sb3afbigexm.xn--p1ai/price/"/>
    <m/>
  </r>
  <r>
    <x v="43"/>
    <m/>
    <m/>
    <m/>
    <m/>
    <s v="https://xn----8sb3afbigexm.xn--p1ai/price/"/>
    <m/>
  </r>
  <r>
    <x v="44"/>
    <m/>
    <m/>
    <m/>
    <m/>
    <s v="https://xn----8sb3afbigexm.xn--p1ai/price/"/>
    <m/>
  </r>
  <r>
    <x v="46"/>
    <n v="30000"/>
    <s v="от"/>
    <n v="3"/>
    <s v="от"/>
    <s v="https://xn----8sb3afbigexm.xn--p1ai/price/"/>
    <m/>
  </r>
  <r>
    <x v="47"/>
    <n v="30000"/>
    <s v="от"/>
    <n v="3"/>
    <s v="от"/>
    <s v="https://xn----8sb3afbigexm.xn--p1ai/price/"/>
    <m/>
  </r>
  <r>
    <x v="48"/>
    <n v="30000"/>
    <s v="от"/>
    <n v="3"/>
    <s v="от"/>
    <s v="https://xn----8sb3afbigexm.xn--p1ai/price/"/>
    <m/>
  </r>
  <r>
    <x v="49"/>
    <n v="30000"/>
    <s v="от"/>
    <n v="3"/>
    <s v="от"/>
    <s v="https://xn----8sb3afbigexm.xn--p1ai/price/"/>
    <m/>
  </r>
  <r>
    <x v="50"/>
    <n v="30000"/>
    <s v="от"/>
    <n v="3"/>
    <s v="от"/>
    <s v="https://xn----8sb3afbigexm.xn--p1ai/price/"/>
    <m/>
  </r>
  <r>
    <x v="51"/>
    <n v="30000"/>
    <s v="от"/>
    <n v="3"/>
    <s v="от"/>
    <s v="https://xn----8sb3afbigexm.xn--p1ai/price/"/>
    <m/>
  </r>
  <r>
    <x v="52"/>
    <m/>
    <m/>
    <m/>
    <m/>
    <s v="https://xn----8sb3afbigexm.xn--p1ai/price/"/>
    <m/>
  </r>
  <r>
    <x v="53"/>
    <m/>
    <m/>
    <m/>
    <m/>
    <s v="https://xn----8sb3afbigexm.xn--p1ai/price/"/>
    <m/>
  </r>
  <r>
    <x v="54"/>
    <m/>
    <m/>
    <m/>
    <m/>
    <s v="https://xn----8sb3afbigexm.xn--p1ai/price/"/>
    <m/>
  </r>
  <r>
    <x v="55"/>
    <m/>
    <m/>
    <m/>
    <m/>
    <s v="https://xn----8sb3afbigexm.xn--p1ai/price/"/>
    <m/>
  </r>
  <r>
    <x v="56"/>
    <m/>
    <m/>
    <m/>
    <m/>
    <s v="https://xn----8sb3afbigexm.xn--p1ai/price/"/>
    <m/>
  </r>
  <r>
    <x v="57"/>
    <n v="6000"/>
    <s v="от"/>
    <n v="3"/>
    <s v="от"/>
    <s v="https://xn----8sb3afbigexm.xn--p1ai/price/"/>
    <m/>
  </r>
  <r>
    <x v="58"/>
    <n v="30000"/>
    <s v="от"/>
    <n v="3"/>
    <s v="от"/>
    <s v="https://xn----8sb3afbigexm.xn--p1ai/price/"/>
    <m/>
  </r>
  <r>
    <x v="59"/>
    <n v="30000"/>
    <s v="от"/>
    <n v="5"/>
    <s v="от"/>
    <s v="https://xn----8sb3afbigexm.xn--p1ai/price/"/>
    <m/>
  </r>
  <r>
    <x v="60"/>
    <n v="30000"/>
    <s v="от"/>
    <n v="3"/>
    <s v="от"/>
    <s v="https://xn----8sb3afbigexm.xn--p1ai/price/"/>
    <m/>
  </r>
  <r>
    <x v="61"/>
    <n v="20000"/>
    <s v="от"/>
    <n v="5"/>
    <s v="от"/>
    <s v="https://xn----8sb3afbigexm.xn--p1ai/price/"/>
    <m/>
  </r>
  <r>
    <x v="62"/>
    <n v="50000"/>
    <s v="от"/>
    <n v="7"/>
    <s v="от"/>
    <s v="https://xn----8sb3afbigexm.xn--p1ai/price/"/>
    <m/>
  </r>
  <r>
    <x v="63"/>
    <n v="20000"/>
    <s v="от"/>
    <n v="3"/>
    <s v="от"/>
    <s v="https://xn----8sb3afbigexm.xn--p1ai/price/"/>
    <m/>
  </r>
  <r>
    <x v="64"/>
    <n v="15000"/>
    <s v="от"/>
    <n v="3"/>
    <s v="от"/>
    <s v="https://xn----8sb3afbigexm.xn--p1ai/price/"/>
    <m/>
  </r>
  <r>
    <x v="65"/>
    <n v="100000"/>
    <s v="от"/>
    <n v="7"/>
    <s v="от"/>
    <s v="https://xn----8sb3afbigexm.xn--p1ai/price/"/>
    <m/>
  </r>
  <r>
    <x v="66"/>
    <n v="40000"/>
    <s v="от"/>
    <n v="5"/>
    <s v="от"/>
    <s v="https://xn----8sb3afbigexm.xn--p1ai/price/"/>
    <m/>
  </r>
  <r>
    <x v="67"/>
    <n v="60000"/>
    <s v="от"/>
    <n v="7"/>
    <s v="от"/>
    <s v="https://xn----8sb3afbigexm.xn--p1ai/price/"/>
    <m/>
  </r>
  <r>
    <x v="68"/>
    <n v="60000"/>
    <s v="от"/>
    <n v="7"/>
    <s v="от"/>
    <s v="https://xn----8sb3afbigexm.xn--p1ai/price/"/>
    <m/>
  </r>
  <r>
    <x v="69"/>
    <n v="30000"/>
    <s v="от"/>
    <n v="7"/>
    <s v="от"/>
    <s v="https://xn----8sb3afbigexm.xn--p1ai/price/"/>
    <m/>
  </r>
  <r>
    <x v="70"/>
    <n v="80000"/>
    <s v="от"/>
    <n v="5"/>
    <s v="от"/>
    <s v="https://xn----8sb3afbigexm.xn--p1ai/price/"/>
    <m/>
  </r>
  <r>
    <x v="71"/>
    <n v="30000"/>
    <s v="от"/>
    <n v="5"/>
    <s v="от"/>
    <s v="https://xn----8sb3afbigexm.xn--p1ai/price/"/>
    <m/>
  </r>
  <r>
    <x v="72"/>
    <n v="50000"/>
    <s v="от"/>
    <n v="7"/>
    <s v="от"/>
    <s v="https://xn----8sb3afbigexm.xn--p1ai/price/"/>
    <m/>
  </r>
  <r>
    <x v="73"/>
    <n v="60000"/>
    <s v="от"/>
    <n v="7"/>
    <s v="от"/>
    <s v="https://xn----8sb3afbigexm.xn--p1ai/price/"/>
    <m/>
  </r>
  <r>
    <x v="74"/>
    <n v="15000"/>
    <s v="от"/>
    <n v="7"/>
    <s v="от"/>
    <s v="https://xn----8sb3afbigexm.xn--p1ai/price/"/>
    <m/>
  </r>
  <r>
    <x v="75"/>
    <n v="5000"/>
    <s v="от"/>
    <n v="7"/>
    <s v="от"/>
    <s v="https://xn----8sb3afbigexm.xn--p1ai/price/"/>
    <m/>
  </r>
  <r>
    <x v="76"/>
    <n v="10000"/>
    <s v="от"/>
    <n v="7"/>
    <s v="от"/>
    <s v="https://xn----8sb3afbigexm.xn--p1ai/price/"/>
    <m/>
  </r>
  <r>
    <x v="77"/>
    <n v="30000"/>
    <s v="от"/>
    <n v="7"/>
    <s v="от"/>
    <s v="https://xn----8sb3afbigexm.xn--p1ai/price/"/>
    <m/>
  </r>
  <r>
    <x v="78"/>
    <n v="10000"/>
    <s v="от"/>
    <n v="5"/>
    <s v="от"/>
    <s v="https://xn----8sb3afbigexm.xn--p1ai/price/"/>
    <m/>
  </r>
  <r>
    <x v="79"/>
    <n v="10000"/>
    <s v="от"/>
    <n v="5"/>
    <s v="от"/>
    <s v="https://xn----8sb3afbigexm.xn--p1ai/price/"/>
    <m/>
  </r>
  <r>
    <x v="1"/>
    <n v="5000"/>
    <s v="от"/>
    <n v="7"/>
    <s v="от"/>
    <s v="https://xn--1-8sbouoe0d.xn--p1ai/o-kompanii/ceny/"/>
    <m/>
  </r>
  <r>
    <x v="2"/>
    <n v="10000"/>
    <s v="от"/>
    <n v="7"/>
    <s v="от"/>
    <s v="https://xn--1-8sbouoe0d.xn--p1ai/o-kompanii/ceny/"/>
    <m/>
  </r>
  <r>
    <x v="3"/>
    <m/>
    <m/>
    <m/>
    <m/>
    <s v="https://xn--1-8sbouoe0d.xn--p1ai/o-kompanii/ceny/"/>
    <m/>
  </r>
  <r>
    <x v="4"/>
    <n v="15000"/>
    <s v="от"/>
    <n v="7"/>
    <s v="от"/>
    <s v="https://xn--1-8sbouoe0d.xn--p1ai/o-kompanii/ceny/"/>
    <m/>
  </r>
  <r>
    <x v="5"/>
    <n v="20000"/>
    <s v="от"/>
    <n v="7"/>
    <s v="от"/>
    <s v="https://xn--1-8sbouoe0d.xn--p1ai/o-kompanii/ceny/"/>
    <s v="30 000, если более 100 соток"/>
  </r>
  <r>
    <x v="6"/>
    <n v="10000"/>
    <s v="от"/>
    <n v="7"/>
    <s v="от"/>
    <s v="https://xn--1-8sbouoe0d.xn--p1ai/o-kompanii/ceny/"/>
    <m/>
  </r>
  <r>
    <x v="7"/>
    <n v="12000"/>
    <s v="от"/>
    <n v="7"/>
    <s v="от"/>
    <s v="https://xn--1-8sbouoe0d.xn--p1ai/o-kompanii/ceny/"/>
    <m/>
  </r>
  <r>
    <x v="8"/>
    <m/>
    <m/>
    <m/>
    <m/>
    <s v="https://xn--1-8sbouoe0d.xn--p1ai/o-kompanii/ceny/"/>
    <m/>
  </r>
  <r>
    <x v="9"/>
    <m/>
    <m/>
    <m/>
    <m/>
    <s v="https://xn--1-8sbouoe0d.xn--p1ai/o-kompanii/ceny/"/>
    <m/>
  </r>
  <r>
    <x v="10"/>
    <m/>
    <m/>
    <m/>
    <m/>
    <s v="https://xn--1-8sbouoe0d.xn--p1ai/o-kompanii/ceny/"/>
    <m/>
  </r>
  <r>
    <x v="11"/>
    <m/>
    <m/>
    <m/>
    <m/>
    <s v="https://xn--1-8sbouoe0d.xn--p1ai/o-kompanii/ceny/"/>
    <m/>
  </r>
  <r>
    <x v="12"/>
    <m/>
    <m/>
    <m/>
    <m/>
    <s v="https://xn--1-8sbouoe0d.xn--p1ai/o-kompanii/ceny/"/>
    <m/>
  </r>
  <r>
    <x v="13"/>
    <m/>
    <m/>
    <m/>
    <m/>
    <s v="https://xn--1-8sbouoe0d.xn--p1ai/o-kompanii/ceny/"/>
    <m/>
  </r>
  <r>
    <x v="14"/>
    <m/>
    <m/>
    <m/>
    <m/>
    <s v="https://xn--1-8sbouoe0d.xn--p1ai/o-kompanii/ceny/"/>
    <m/>
  </r>
  <r>
    <x v="15"/>
    <m/>
    <m/>
    <m/>
    <m/>
    <s v="https://xn--1-8sbouoe0d.xn--p1ai/o-kompanii/ceny/"/>
    <m/>
  </r>
  <r>
    <x v="16"/>
    <n v="20000"/>
    <s v="от"/>
    <n v="7"/>
    <s v="от"/>
    <s v="https://xn--1-8sbouoe0d.xn--p1ai/o-kompanii/ceny/"/>
    <m/>
  </r>
  <r>
    <x v="17"/>
    <n v="30000"/>
    <s v="от"/>
    <n v="7"/>
    <s v="от"/>
    <s v="https://xn--1-8sbouoe0d.xn--p1ai/o-kompanii/ceny/"/>
    <m/>
  </r>
  <r>
    <x v="18"/>
    <n v="40000"/>
    <s v="от"/>
    <n v="7"/>
    <s v="от"/>
    <s v="https://xn--1-8sbouoe0d.xn--p1ai/o-kompanii/ceny/"/>
    <m/>
  </r>
  <r>
    <x v="19"/>
    <n v="50000"/>
    <s v="от"/>
    <n v="7"/>
    <s v="от"/>
    <s v="https://xn--1-8sbouoe0d.xn--p1ai/o-kompanii/ceny/"/>
    <m/>
  </r>
  <r>
    <x v="20"/>
    <n v="60000"/>
    <s v="от"/>
    <n v="7"/>
    <s v="от"/>
    <s v="https://xn--1-8sbouoe0d.xn--p1ai/o-kompanii/ceny/"/>
    <m/>
  </r>
  <r>
    <x v="21"/>
    <n v="30000"/>
    <s v="от"/>
    <n v="7"/>
    <s v="от"/>
    <s v="https://xn--1-8sbouoe0d.xn--p1ai/o-kompanii/ceny/"/>
    <m/>
  </r>
  <r>
    <x v="22"/>
    <n v="40000"/>
    <s v="от"/>
    <n v="7"/>
    <s v="от"/>
    <s v="https://xn--1-8sbouoe0d.xn--p1ai/o-kompanii/ceny/"/>
    <m/>
  </r>
  <r>
    <x v="23"/>
    <n v="50000"/>
    <s v="от"/>
    <n v="7"/>
    <s v="от"/>
    <s v="https://xn--1-8sbouoe0d.xn--p1ai/o-kompanii/ceny/"/>
    <m/>
  </r>
  <r>
    <x v="45"/>
    <n v="60000"/>
    <s v="от"/>
    <n v="7"/>
    <s v="от"/>
    <s v="https://xn--1-8sbouoe0d.xn--p1ai/o-kompanii/ceny/"/>
    <m/>
  </r>
  <r>
    <x v="25"/>
    <m/>
    <m/>
    <m/>
    <m/>
    <s v="https://xn--1-8sbouoe0d.xn--p1ai/o-kompanii/ceny/"/>
    <m/>
  </r>
  <r>
    <x v="26"/>
    <m/>
    <m/>
    <m/>
    <m/>
    <s v="https://xn--1-8sbouoe0d.xn--p1ai/o-kompanii/ceny/"/>
    <m/>
  </r>
  <r>
    <x v="27"/>
    <n v="5000"/>
    <m/>
    <m/>
    <m/>
    <s v="https://xn--1-8sbouoe0d.xn--p1ai/o-kompanii/ceny/"/>
    <m/>
  </r>
  <r>
    <x v="28"/>
    <n v="10000"/>
    <m/>
    <m/>
    <m/>
    <s v="https://xn--1-8sbouoe0d.xn--p1ai/o-kompanii/ceny/"/>
    <m/>
  </r>
  <r>
    <x v="29"/>
    <m/>
    <m/>
    <m/>
    <m/>
    <s v="https://xn--1-8sbouoe0d.xn--p1ai/o-kompanii/ceny/"/>
    <m/>
  </r>
  <r>
    <x v="30"/>
    <m/>
    <m/>
    <m/>
    <m/>
    <s v="https://xn--1-8sbouoe0d.xn--p1ai/o-kompanii/ceny/"/>
    <m/>
  </r>
  <r>
    <x v="31"/>
    <m/>
    <m/>
    <m/>
    <m/>
    <s v="https://xn--1-8sbouoe0d.xn--p1ai/o-kompanii/ceny/"/>
    <m/>
  </r>
  <r>
    <x v="32"/>
    <n v="200"/>
    <s v="от"/>
    <n v="7"/>
    <s v="от"/>
    <s v="https://xn--1-8sbouoe0d.xn--p1ai/o-kompanii/ceny/"/>
    <s v="От 20 000"/>
  </r>
  <r>
    <x v="33"/>
    <n v="20000"/>
    <s v="от"/>
    <n v="7"/>
    <s v="от"/>
    <s v="https://xn--1-8sbouoe0d.xn--p1ai/o-kompanii/ceny/"/>
    <m/>
  </r>
  <r>
    <x v="34"/>
    <n v="20000"/>
    <m/>
    <m/>
    <m/>
    <s v="https://xn--1-8sbouoe0d.xn--p1ai/o-kompanii/ceny/"/>
    <m/>
  </r>
  <r>
    <x v="35"/>
    <m/>
    <m/>
    <m/>
    <m/>
    <s v="https://xn--1-8sbouoe0d.xn--p1ai/o-kompanii/ceny/"/>
    <m/>
  </r>
  <r>
    <x v="36"/>
    <m/>
    <m/>
    <m/>
    <m/>
    <s v="https://xn--1-8sbouoe0d.xn--p1ai/o-kompanii/ceny/"/>
    <m/>
  </r>
  <r>
    <x v="37"/>
    <m/>
    <m/>
    <m/>
    <m/>
    <s v="https://xn--1-8sbouoe0d.xn--p1ai/o-kompanii/ceny/"/>
    <m/>
  </r>
  <r>
    <x v="38"/>
    <m/>
    <m/>
    <m/>
    <m/>
    <s v="https://xn--1-8sbouoe0d.xn--p1ai/o-kompanii/ceny/"/>
    <m/>
  </r>
  <r>
    <x v="39"/>
    <n v="60000"/>
    <s v="от"/>
    <n v="10"/>
    <s v="от"/>
    <s v="https://xn--1-8sbouoe0d.xn--p1ai/o-kompanii/ceny/"/>
    <m/>
  </r>
  <r>
    <x v="40"/>
    <n v="100000"/>
    <s v="от"/>
    <n v="14"/>
    <s v="от"/>
    <s v="https://xn--1-8sbouoe0d.xn--p1ai/o-kompanii/ceny/"/>
    <m/>
  </r>
  <r>
    <x v="41"/>
    <n v="200000"/>
    <s v="от"/>
    <n v="21"/>
    <s v="от"/>
    <s v="https://xn--1-8sbouoe0d.xn--p1ai/o-kompanii/ceny/"/>
    <m/>
  </r>
  <r>
    <x v="42"/>
    <n v="40000"/>
    <s v="от"/>
    <n v="7"/>
    <s v="от"/>
    <s v="https://xn--1-8sbouoe0d.xn--p1ai/o-kompanii/ceny/"/>
    <m/>
  </r>
  <r>
    <x v="43"/>
    <m/>
    <m/>
    <m/>
    <m/>
    <s v="https://xn--1-8sbouoe0d.xn--p1ai/o-kompanii/ceny/"/>
    <m/>
  </r>
  <r>
    <x v="44"/>
    <m/>
    <m/>
    <m/>
    <m/>
    <s v="https://xn--1-8sbouoe0d.xn--p1ai/o-kompanii/ceny/"/>
    <m/>
  </r>
  <r>
    <x v="46"/>
    <m/>
    <m/>
    <m/>
    <m/>
    <s v="https://xn--1-8sbouoe0d.xn--p1ai/o-kompanii/ceny/"/>
    <m/>
  </r>
  <r>
    <x v="47"/>
    <m/>
    <m/>
    <m/>
    <m/>
    <s v="https://xn--1-8sbouoe0d.xn--p1ai/o-kompanii/ceny/"/>
    <m/>
  </r>
  <r>
    <x v="48"/>
    <m/>
    <m/>
    <m/>
    <m/>
    <s v="https://xn--1-8sbouoe0d.xn--p1ai/o-kompanii/ceny/"/>
    <m/>
  </r>
  <r>
    <x v="49"/>
    <m/>
    <m/>
    <m/>
    <m/>
    <s v="https://xn--1-8sbouoe0d.xn--p1ai/o-kompanii/ceny/"/>
    <m/>
  </r>
  <r>
    <x v="50"/>
    <m/>
    <m/>
    <m/>
    <m/>
    <s v="https://xn--1-8sbouoe0d.xn--p1ai/o-kompanii/ceny/"/>
    <m/>
  </r>
  <r>
    <x v="51"/>
    <m/>
    <m/>
    <m/>
    <m/>
    <s v="https://xn--1-8sbouoe0d.xn--p1ai/o-kompanii/ceny/"/>
    <m/>
  </r>
  <r>
    <x v="52"/>
    <m/>
    <m/>
    <m/>
    <m/>
    <s v="https://xn--1-8sbouoe0d.xn--p1ai/o-kompanii/ceny/"/>
    <m/>
  </r>
  <r>
    <x v="53"/>
    <m/>
    <m/>
    <m/>
    <m/>
    <s v="https://xn--1-8sbouoe0d.xn--p1ai/o-kompanii/ceny/"/>
    <m/>
  </r>
  <r>
    <x v="54"/>
    <m/>
    <m/>
    <m/>
    <m/>
    <s v="https://xn--1-8sbouoe0d.xn--p1ai/o-kompanii/ceny/"/>
    <m/>
  </r>
  <r>
    <x v="55"/>
    <m/>
    <m/>
    <m/>
    <m/>
    <s v="https://xn--1-8sbouoe0d.xn--p1ai/o-kompanii/ceny/"/>
    <m/>
  </r>
  <r>
    <x v="56"/>
    <m/>
    <m/>
    <m/>
    <m/>
    <s v="https://xn--1-8sbouoe0d.xn--p1ai/o-kompanii/ceny/"/>
    <m/>
  </r>
  <r>
    <x v="57"/>
    <m/>
    <m/>
    <m/>
    <m/>
    <s v="https://xn--1-8sbouoe0d.xn--p1ai/o-kompanii/ceny/"/>
    <m/>
  </r>
  <r>
    <x v="58"/>
    <m/>
    <m/>
    <m/>
    <m/>
    <s v="https://xn--1-8sbouoe0d.xn--p1ai/o-kompanii/ceny/"/>
    <m/>
  </r>
  <r>
    <x v="59"/>
    <m/>
    <m/>
    <m/>
    <m/>
    <s v="https://xn--1-8sbouoe0d.xn--p1ai/o-kompanii/ceny/"/>
    <m/>
  </r>
  <r>
    <x v="60"/>
    <m/>
    <m/>
    <m/>
    <m/>
    <s v="https://xn--1-8sbouoe0d.xn--p1ai/o-kompanii/ceny/"/>
    <m/>
  </r>
  <r>
    <x v="61"/>
    <m/>
    <m/>
    <m/>
    <m/>
    <s v="https://xn--1-8sbouoe0d.xn--p1ai/o-kompanii/ceny/"/>
    <m/>
  </r>
  <r>
    <x v="62"/>
    <m/>
    <m/>
    <m/>
    <m/>
    <s v="https://xn--1-8sbouoe0d.xn--p1ai/o-kompanii/ceny/"/>
    <m/>
  </r>
  <r>
    <x v="63"/>
    <m/>
    <m/>
    <m/>
    <m/>
    <s v="https://xn--1-8sbouoe0d.xn--p1ai/o-kompanii/ceny/"/>
    <m/>
  </r>
  <r>
    <x v="64"/>
    <m/>
    <m/>
    <m/>
    <m/>
    <s v="https://xn--1-8sbouoe0d.xn--p1ai/o-kompanii/ceny/"/>
    <m/>
  </r>
  <r>
    <x v="65"/>
    <m/>
    <m/>
    <m/>
    <m/>
    <s v="https://xn--1-8sbouoe0d.xn--p1ai/o-kompanii/ceny/"/>
    <m/>
  </r>
  <r>
    <x v="66"/>
    <m/>
    <m/>
    <m/>
    <m/>
    <s v="https://xn--1-8sbouoe0d.xn--p1ai/o-kompanii/ceny/"/>
    <m/>
  </r>
  <r>
    <x v="67"/>
    <m/>
    <m/>
    <m/>
    <m/>
    <s v="https://xn--1-8sbouoe0d.xn--p1ai/o-kompanii/ceny/"/>
    <m/>
  </r>
  <r>
    <x v="68"/>
    <m/>
    <m/>
    <m/>
    <m/>
    <s v="https://xn--1-8sbouoe0d.xn--p1ai/o-kompanii/ceny/"/>
    <m/>
  </r>
  <r>
    <x v="69"/>
    <m/>
    <m/>
    <m/>
    <m/>
    <s v="https://xn--1-8sbouoe0d.xn--p1ai/o-kompanii/ceny/"/>
    <m/>
  </r>
  <r>
    <x v="70"/>
    <m/>
    <m/>
    <m/>
    <m/>
    <s v="https://xn--1-8sbouoe0d.xn--p1ai/o-kompanii/ceny/"/>
    <m/>
  </r>
  <r>
    <x v="71"/>
    <m/>
    <m/>
    <m/>
    <m/>
    <s v="https://xn--1-8sbouoe0d.xn--p1ai/o-kompanii/ceny/"/>
    <m/>
  </r>
  <r>
    <x v="72"/>
    <m/>
    <m/>
    <m/>
    <m/>
    <s v="https://xn--1-8sbouoe0d.xn--p1ai/o-kompanii/ceny/"/>
    <m/>
  </r>
  <r>
    <x v="73"/>
    <m/>
    <m/>
    <m/>
    <m/>
    <s v="https://xn--1-8sbouoe0d.xn--p1ai/o-kompanii/ceny/"/>
    <m/>
  </r>
  <r>
    <x v="74"/>
    <m/>
    <m/>
    <m/>
    <m/>
    <s v="https://xn--1-8sbouoe0d.xn--p1ai/o-kompanii/ceny/"/>
    <m/>
  </r>
  <r>
    <x v="75"/>
    <m/>
    <m/>
    <m/>
    <m/>
    <s v="https://xn--1-8sbouoe0d.xn--p1ai/o-kompanii/ceny/"/>
    <m/>
  </r>
  <r>
    <x v="76"/>
    <m/>
    <m/>
    <m/>
    <m/>
    <s v="https://xn--1-8sbouoe0d.xn--p1ai/o-kompanii/ceny/"/>
    <m/>
  </r>
  <r>
    <x v="77"/>
    <m/>
    <m/>
    <m/>
    <m/>
    <s v="https://xn--1-8sbouoe0d.xn--p1ai/o-kompanii/ceny/"/>
    <m/>
  </r>
  <r>
    <x v="78"/>
    <m/>
    <m/>
    <m/>
    <m/>
    <s v="https://xn--1-8sbouoe0d.xn--p1ai/o-kompanii/ceny/"/>
    <m/>
  </r>
  <r>
    <x v="79"/>
    <m/>
    <m/>
    <m/>
    <m/>
    <s v="https://xn--1-8sbouoe0d.xn--p1ai/o-kompanii/ceny/"/>
    <m/>
  </r>
  <r>
    <x v="1"/>
    <n v="10000"/>
    <m/>
    <m/>
    <m/>
    <s v="https://ce-na.ru/price/"/>
    <m/>
  </r>
  <r>
    <x v="2"/>
    <m/>
    <m/>
    <m/>
    <m/>
    <s v="https://ce-na.ru/price/"/>
    <m/>
  </r>
  <r>
    <x v="3"/>
    <m/>
    <m/>
    <m/>
    <m/>
    <s v="https://ce-na.ru/price/"/>
    <m/>
  </r>
  <r>
    <x v="4"/>
    <m/>
    <m/>
    <m/>
    <m/>
    <s v="https://ce-na.ru/price/"/>
    <m/>
  </r>
  <r>
    <x v="5"/>
    <m/>
    <m/>
    <m/>
    <m/>
    <s v="https://ce-na.ru/price/"/>
    <m/>
  </r>
  <r>
    <x v="6"/>
    <m/>
    <m/>
    <m/>
    <m/>
    <s v="https://ce-na.ru/price/"/>
    <m/>
  </r>
  <r>
    <x v="7"/>
    <m/>
    <m/>
    <m/>
    <m/>
    <s v="https://ce-na.ru/price/"/>
    <m/>
  </r>
  <r>
    <x v="8"/>
    <m/>
    <m/>
    <m/>
    <m/>
    <s v="https://ce-na.ru/price/"/>
    <m/>
  </r>
  <r>
    <x v="9"/>
    <m/>
    <m/>
    <m/>
    <m/>
    <s v="https://ce-na.ru/price/"/>
    <m/>
  </r>
  <r>
    <x v="10"/>
    <m/>
    <m/>
    <m/>
    <m/>
    <s v="https://ce-na.ru/price/"/>
    <m/>
  </r>
  <r>
    <x v="11"/>
    <n v="18000"/>
    <m/>
    <m/>
    <m/>
    <s v="https://ce-na.ru/price/"/>
    <m/>
  </r>
  <r>
    <x v="12"/>
    <n v="25000"/>
    <m/>
    <m/>
    <m/>
    <s v="https://ce-na.ru/price/"/>
    <m/>
  </r>
  <r>
    <x v="13"/>
    <n v="39000"/>
    <m/>
    <m/>
    <m/>
    <s v="https://ce-na.ru/price/"/>
    <m/>
  </r>
  <r>
    <x v="14"/>
    <m/>
    <m/>
    <m/>
    <m/>
    <s v="https://ce-na.ru/price/"/>
    <m/>
  </r>
  <r>
    <x v="15"/>
    <m/>
    <m/>
    <m/>
    <m/>
    <s v="https://ce-na.ru/price/"/>
    <m/>
  </r>
  <r>
    <x v="16"/>
    <n v="18000"/>
    <m/>
    <m/>
    <m/>
    <s v="https://ce-na.ru/price/"/>
    <m/>
  </r>
  <r>
    <x v="17"/>
    <n v="20000"/>
    <m/>
    <m/>
    <m/>
    <s v="https://ce-na.ru/price/"/>
    <m/>
  </r>
  <r>
    <x v="18"/>
    <n v="25000"/>
    <m/>
    <m/>
    <m/>
    <s v="https://ce-na.ru/price/"/>
    <m/>
  </r>
  <r>
    <x v="19"/>
    <n v="30000"/>
    <m/>
    <m/>
    <m/>
    <s v="https://ce-na.ru/price/"/>
    <m/>
  </r>
  <r>
    <x v="20"/>
    <n v="40000"/>
    <m/>
    <m/>
    <m/>
    <s v="https://ce-na.ru/price/"/>
    <m/>
  </r>
  <r>
    <x v="21"/>
    <n v="50000"/>
    <m/>
    <m/>
    <m/>
    <s v="https://ce-na.ru/price/"/>
    <m/>
  </r>
  <r>
    <x v="22"/>
    <m/>
    <m/>
    <m/>
    <m/>
    <s v="https://ce-na.ru/price/"/>
    <m/>
  </r>
  <r>
    <x v="23"/>
    <m/>
    <m/>
    <m/>
    <m/>
    <s v="https://ce-na.ru/price/"/>
    <m/>
  </r>
  <r>
    <x v="45"/>
    <m/>
    <m/>
    <m/>
    <m/>
    <s v="https://ce-na.ru/price/"/>
    <m/>
  </r>
  <r>
    <x v="25"/>
    <n v="7900"/>
    <m/>
    <m/>
    <m/>
    <s v="https://ce-na.ru/price/"/>
    <m/>
  </r>
  <r>
    <x v="26"/>
    <m/>
    <m/>
    <m/>
    <m/>
    <s v="https://ce-na.ru/price/"/>
    <m/>
  </r>
  <r>
    <x v="27"/>
    <n v="4900"/>
    <m/>
    <m/>
    <m/>
    <s v="https://ce-na.ru/price/"/>
    <m/>
  </r>
  <r>
    <x v="28"/>
    <n v="4900"/>
    <m/>
    <m/>
    <m/>
    <s v="https://ce-na.ru/price/"/>
    <m/>
  </r>
  <r>
    <x v="29"/>
    <m/>
    <m/>
    <m/>
    <m/>
    <s v="https://ce-na.ru/price/"/>
    <m/>
  </r>
  <r>
    <x v="30"/>
    <m/>
    <m/>
    <m/>
    <m/>
    <s v="https://ce-na.ru/price/"/>
    <m/>
  </r>
  <r>
    <x v="31"/>
    <m/>
    <m/>
    <m/>
    <m/>
    <s v="https://ce-na.ru/price/"/>
    <m/>
  </r>
  <r>
    <x v="32"/>
    <n v="800"/>
    <m/>
    <m/>
    <m/>
    <s v="https://ce-na.ru/price/"/>
    <m/>
  </r>
  <r>
    <x v="33"/>
    <n v="8000"/>
    <m/>
    <m/>
    <m/>
    <s v="https://ce-na.ru/price/"/>
    <m/>
  </r>
  <r>
    <x v="34"/>
    <n v="60000"/>
    <m/>
    <m/>
    <m/>
    <s v="https://ce-na.ru/price/"/>
    <m/>
  </r>
  <r>
    <x v="35"/>
    <m/>
    <m/>
    <m/>
    <m/>
    <s v="https://ce-na.ru/price/"/>
    <m/>
  </r>
  <r>
    <x v="36"/>
    <n v="12000"/>
    <m/>
    <m/>
    <m/>
    <s v="https://ce-na.ru/price/"/>
    <m/>
  </r>
  <r>
    <x v="37"/>
    <n v="12000"/>
    <m/>
    <m/>
    <m/>
    <s v="https://ce-na.ru/price/"/>
    <m/>
  </r>
  <r>
    <x v="38"/>
    <m/>
    <m/>
    <m/>
    <m/>
    <s v="https://ce-na.ru/price/"/>
    <m/>
  </r>
  <r>
    <x v="39"/>
    <n v="25000"/>
    <m/>
    <m/>
    <m/>
    <s v="https://ce-na.ru/price/"/>
    <m/>
  </r>
  <r>
    <x v="40"/>
    <n v="45000"/>
    <m/>
    <m/>
    <m/>
    <s v="https://ce-na.ru/price/"/>
    <m/>
  </r>
  <r>
    <x v="41"/>
    <n v="90000"/>
    <m/>
    <m/>
    <m/>
    <s v="https://ce-na.ru/price/"/>
    <m/>
  </r>
  <r>
    <x v="42"/>
    <n v="15000"/>
    <m/>
    <m/>
    <m/>
    <s v="https://ce-na.ru/price/"/>
    <m/>
  </r>
  <r>
    <x v="43"/>
    <m/>
    <m/>
    <m/>
    <m/>
    <s v="https://ce-na.ru/price/"/>
    <m/>
  </r>
  <r>
    <x v="44"/>
    <n v="30000"/>
    <m/>
    <m/>
    <m/>
    <s v="https://ce-na.ru/price/"/>
    <m/>
  </r>
  <r>
    <x v="46"/>
    <n v="30000"/>
    <m/>
    <m/>
    <m/>
    <s v="https://ce-na.ru/price/"/>
    <m/>
  </r>
  <r>
    <x v="47"/>
    <n v="30000"/>
    <m/>
    <m/>
    <m/>
    <s v="https://ce-na.ru/price/"/>
    <m/>
  </r>
  <r>
    <x v="48"/>
    <n v="30000"/>
    <m/>
    <m/>
    <m/>
    <s v="https://ce-na.ru/price/"/>
    <m/>
  </r>
  <r>
    <x v="49"/>
    <n v="30000"/>
    <m/>
    <m/>
    <m/>
    <s v="https://ce-na.ru/price/"/>
    <m/>
  </r>
  <r>
    <x v="50"/>
    <n v="30000"/>
    <m/>
    <m/>
    <m/>
    <s v="https://ce-na.ru/price/"/>
    <m/>
  </r>
  <r>
    <x v="51"/>
    <n v="30000"/>
    <m/>
    <m/>
    <m/>
    <s v="https://ce-na.ru/price/"/>
    <m/>
  </r>
  <r>
    <x v="52"/>
    <n v="15000"/>
    <m/>
    <m/>
    <m/>
    <s v="https://ce-na.ru/price/"/>
    <m/>
  </r>
  <r>
    <x v="53"/>
    <n v="25000"/>
    <m/>
    <m/>
    <m/>
    <s v="https://ce-na.ru/price/"/>
    <m/>
  </r>
  <r>
    <x v="54"/>
    <m/>
    <m/>
    <m/>
    <m/>
    <s v="https://ce-na.ru/price/"/>
    <m/>
  </r>
  <r>
    <x v="55"/>
    <m/>
    <m/>
    <m/>
    <m/>
    <s v="https://ce-na.ru/price/"/>
    <m/>
  </r>
  <r>
    <x v="56"/>
    <m/>
    <m/>
    <m/>
    <m/>
    <s v="https://ce-na.ru/price/"/>
    <m/>
  </r>
  <r>
    <x v="57"/>
    <m/>
    <m/>
    <m/>
    <m/>
    <s v="https://ce-na.ru/price/"/>
    <m/>
  </r>
  <r>
    <x v="58"/>
    <m/>
    <m/>
    <m/>
    <m/>
    <s v="https://ce-na.ru/price/"/>
    <m/>
  </r>
  <r>
    <x v="59"/>
    <n v="15000"/>
    <m/>
    <m/>
    <m/>
    <s v="https://ce-na.ru/price/"/>
    <s v="Для НМА - от 30 000"/>
  </r>
  <r>
    <x v="60"/>
    <m/>
    <m/>
    <m/>
    <m/>
    <s v="https://ce-na.ru/price/"/>
    <m/>
  </r>
  <r>
    <x v="61"/>
    <m/>
    <m/>
    <m/>
    <m/>
    <s v="https://ce-na.ru/price/"/>
    <m/>
  </r>
  <r>
    <x v="62"/>
    <m/>
    <m/>
    <m/>
    <m/>
    <s v="https://ce-na.ru/price/"/>
    <m/>
  </r>
  <r>
    <x v="63"/>
    <m/>
    <m/>
    <m/>
    <m/>
    <s v="https://ce-na.ru/price/"/>
    <m/>
  </r>
  <r>
    <x v="64"/>
    <m/>
    <m/>
    <m/>
    <m/>
    <s v="https://ce-na.ru/price/"/>
    <m/>
  </r>
  <r>
    <x v="65"/>
    <m/>
    <m/>
    <m/>
    <m/>
    <s v="https://ce-na.ru/price/"/>
    <m/>
  </r>
  <r>
    <x v="66"/>
    <m/>
    <m/>
    <m/>
    <m/>
    <s v="https://ce-na.ru/price/"/>
    <m/>
  </r>
  <r>
    <x v="67"/>
    <m/>
    <m/>
    <m/>
    <m/>
    <s v="https://ce-na.ru/price/"/>
    <m/>
  </r>
  <r>
    <x v="68"/>
    <m/>
    <m/>
    <m/>
    <m/>
    <s v="https://ce-na.ru/price/"/>
    <m/>
  </r>
  <r>
    <x v="69"/>
    <m/>
    <m/>
    <m/>
    <m/>
    <s v="https://ce-na.ru/price/"/>
    <m/>
  </r>
  <r>
    <x v="70"/>
    <m/>
    <m/>
    <m/>
    <m/>
    <s v="https://ce-na.ru/price/"/>
    <m/>
  </r>
  <r>
    <x v="71"/>
    <m/>
    <m/>
    <m/>
    <m/>
    <s v="https://ce-na.ru/price/"/>
    <m/>
  </r>
  <r>
    <x v="72"/>
    <m/>
    <m/>
    <m/>
    <m/>
    <s v="https://ce-na.ru/price/"/>
    <m/>
  </r>
  <r>
    <x v="73"/>
    <m/>
    <m/>
    <m/>
    <m/>
    <s v="https://ce-na.ru/price/"/>
    <m/>
  </r>
  <r>
    <x v="74"/>
    <m/>
    <m/>
    <m/>
    <m/>
    <s v="https://ce-na.ru/price/"/>
    <m/>
  </r>
  <r>
    <x v="75"/>
    <m/>
    <m/>
    <m/>
    <m/>
    <s v="https://ce-na.ru/price/"/>
    <m/>
  </r>
  <r>
    <x v="76"/>
    <m/>
    <m/>
    <m/>
    <m/>
    <s v="https://ce-na.ru/price/"/>
    <m/>
  </r>
  <r>
    <x v="77"/>
    <m/>
    <m/>
    <m/>
    <m/>
    <s v="https://ce-na.ru/price/"/>
    <m/>
  </r>
  <r>
    <x v="78"/>
    <m/>
    <m/>
    <m/>
    <m/>
    <s v="https://ce-na.ru/price/"/>
    <m/>
  </r>
  <r>
    <x v="79"/>
    <m/>
    <m/>
    <m/>
    <m/>
    <s v="https://ce-na.ru/price/"/>
    <m/>
  </r>
  <r>
    <x v="80"/>
    <n v="25000"/>
    <m/>
    <m/>
    <m/>
    <s v="https://ce-na.ru/price/"/>
    <m/>
  </r>
  <r>
    <x v="81"/>
    <n v="20000"/>
    <m/>
    <m/>
    <m/>
    <s v="https://ce-na.ru/price/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СводнаяТаблица3" cacheId="0" applyNumberFormats="0" applyBorderFormats="0" applyFontFormats="0" applyPatternFormats="0" applyAlignmentFormats="0" applyWidthHeightFormats="1" dataCaption="Значения" updatedVersion="5" minRefreshableVersion="3" useAutoFormatting="1" rowGrandTotals="0" colGrandTotals="0" itemPrintTitles="1" createdVersion="5" indent="0" outline="1" outlineData="1" multipleFieldFilters="0">
  <location ref="A3:C85" firstHeaderRow="0" firstDataRow="1" firstDataCol="1"/>
  <pivotFields count="8">
    <pivotField axis="axisRow" showAll="0" defaultSubtotal="0">
      <items count="84">
        <item x="28"/>
        <item x="27"/>
        <item x="29"/>
        <item x="36"/>
        <item x="37"/>
        <item x="57"/>
        <item x="20"/>
        <item x="19"/>
        <item x="17"/>
        <item x="18"/>
        <item x="16"/>
        <item x="50"/>
        <item x="43"/>
        <item x="38"/>
        <item x="10"/>
        <item x="51"/>
        <item x="6"/>
        <item x="7"/>
        <item x="8"/>
        <item x="54"/>
        <item x="52"/>
        <item x="55"/>
        <item x="53"/>
        <item x="5"/>
        <item x="4"/>
        <item x="56"/>
        <item x="11"/>
        <item x="12"/>
        <item x="58"/>
        <item x="44"/>
        <item x="0"/>
        <item x="1"/>
        <item x="39"/>
        <item x="41"/>
        <item x="49"/>
        <item x="25"/>
        <item x="34"/>
        <item x="48"/>
        <item x="30"/>
        <item x="23"/>
        <item x="22"/>
        <item x="21"/>
        <item x="45"/>
        <item x="24"/>
        <item x="59"/>
        <item x="31"/>
        <item x="26"/>
        <item x="81"/>
        <item x="13"/>
        <item x="80"/>
        <item x="47"/>
        <item x="3"/>
        <item x="32"/>
        <item m="1" x="82"/>
        <item x="40"/>
        <item x="33"/>
        <item x="63"/>
        <item x="72"/>
        <item x="73"/>
        <item x="66"/>
        <item x="77"/>
        <item x="65"/>
        <item x="67"/>
        <item x="68"/>
        <item x="69"/>
        <item x="70"/>
        <item x="62"/>
        <item x="71"/>
        <item x="60"/>
        <item x="76"/>
        <item x="64"/>
        <item x="79"/>
        <item x="78"/>
        <item x="74"/>
        <item x="75"/>
        <item x="61"/>
        <item x="35"/>
        <item x="46"/>
        <item x="15"/>
        <item x="14"/>
        <item x="42"/>
        <item x="9"/>
        <item x="2"/>
        <item m="1" x="8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8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</rowItems>
  <colFields count="1">
    <field x="-2"/>
  </colFields>
  <colItems count="2">
    <i>
      <x/>
    </i>
    <i i="1">
      <x v="1"/>
    </i>
  </colItems>
  <dataFields count="2">
    <dataField name="Мин. стоимость услуги, руб." fld="1" subtotal="average" baseField="0" baseItem="0" numFmtId="3"/>
    <dataField name="Мин. срок работы, дн." fld="3" subtotal="average" baseField="0" baseItem="0" numFmtId="3"/>
  </dataFields>
  <formats count="2">
    <format dxfId="1">
      <pivotArea dataOnly="0" labelOnly="1" fieldPosition="0">
        <references count="1">
          <reference field="0" count="1">
            <x v="44"/>
          </reference>
        </references>
      </pivotArea>
    </format>
    <format dxfId="0">
      <pivotArea dataOnly="0" labelOnly="1" fieldPosition="0">
        <references count="1">
          <reference field="0" count="1">
            <x v="5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yandex.ru/maps/213/moscow/?ll=37.600672%2C55.735591&amp;mode=routes&amp;rtext=55.734385%2C37.591342&amp;rtt=pd&amp;ruri=ymapsbm1%3A%2F%2Fgeo%3Fdata%3DCgg1NjY5ODAyORJH0KDQvtGB0YHQuNGPLCDQnNC-0YHQutCy0LAsINGD0LvQuNGG0LAg0KLQuNC80YPRgNCwINCk0YDRg9C90LfQtSwgMTbRgTMiC" TargetMode="External"/><Relationship Id="rId1" Type="http://schemas.openxmlformats.org/officeDocument/2006/relationships/hyperlink" Target="https://www.petrolplus.ru/fuelindex/gorod-moskva/ai95/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3">
    <tabColor rgb="FF92D050"/>
  </sheetPr>
  <dimension ref="B2:F18"/>
  <sheetViews>
    <sheetView tabSelected="1" zoomScale="85" zoomScaleNormal="85" workbookViewId="0">
      <selection activeCell="K16" sqref="K16"/>
    </sheetView>
  </sheetViews>
  <sheetFormatPr defaultRowHeight="14.4" x14ac:dyDescent="0.3"/>
  <cols>
    <col min="2" max="2" width="52.109375" bestFit="1" customWidth="1"/>
    <col min="3" max="3" width="11.88671875" customWidth="1"/>
    <col min="4" max="4" width="8.5546875" style="42" customWidth="1"/>
    <col min="5" max="5" width="49.33203125" bestFit="1" customWidth="1"/>
    <col min="6" max="6" width="14.6640625" customWidth="1"/>
    <col min="7" max="7" width="19.6640625" customWidth="1"/>
    <col min="9" max="9" width="18.44140625" bestFit="1" customWidth="1"/>
    <col min="11" max="11" width="20.44140625" bestFit="1" customWidth="1"/>
  </cols>
  <sheetData>
    <row r="2" spans="2:6" ht="18" x14ac:dyDescent="0.35">
      <c r="B2" s="26" t="s">
        <v>149</v>
      </c>
      <c r="C2" s="42"/>
      <c r="D2"/>
      <c r="E2" s="36" t="s">
        <v>131</v>
      </c>
    </row>
    <row r="3" spans="2:6" x14ac:dyDescent="0.3">
      <c r="C3" s="42"/>
      <c r="D3"/>
    </row>
    <row r="4" spans="2:6" x14ac:dyDescent="0.3">
      <c r="B4" s="47" t="s">
        <v>137</v>
      </c>
      <c r="C4" s="47" t="s">
        <v>167</v>
      </c>
      <c r="D4"/>
      <c r="E4" s="31" t="s">
        <v>137</v>
      </c>
      <c r="F4" s="32" t="s">
        <v>114</v>
      </c>
    </row>
    <row r="5" spans="2:6" x14ac:dyDescent="0.3">
      <c r="B5" s="48" t="s">
        <v>196</v>
      </c>
      <c r="C5" s="49">
        <v>2</v>
      </c>
      <c r="D5"/>
      <c r="E5" s="43" t="s">
        <v>139</v>
      </c>
      <c r="F5" s="44" t="s">
        <v>140</v>
      </c>
    </row>
    <row r="6" spans="2:6" x14ac:dyDescent="0.3">
      <c r="B6" s="48" t="s">
        <v>192</v>
      </c>
      <c r="C6" s="49"/>
      <c r="D6"/>
      <c r="E6" s="43" t="s">
        <v>0</v>
      </c>
      <c r="F6" s="44" t="s">
        <v>181</v>
      </c>
    </row>
    <row r="7" spans="2:6" x14ac:dyDescent="0.3">
      <c r="B7" s="48" t="s">
        <v>36</v>
      </c>
      <c r="C7" s="48"/>
      <c r="D7"/>
      <c r="E7" s="43" t="s">
        <v>174</v>
      </c>
      <c r="F7" s="44" t="str">
        <f>IF(F6="Земельный участок некоммерческий","соток",IF(F5="Недвижимость","кв.м",IF(F5="Бизнес","Выручка, млн руб.",IF(OR(F5="Движимое имущество",F5="Услуги",F5="Другое"),"ед.",""))))</f>
        <v>кв.м</v>
      </c>
    </row>
    <row r="8" spans="2:6" x14ac:dyDescent="0.3">
      <c r="B8" s="48" t="s">
        <v>37</v>
      </c>
      <c r="C8" s="48" t="b">
        <v>1</v>
      </c>
      <c r="D8"/>
      <c r="E8" s="43" t="s">
        <v>175</v>
      </c>
      <c r="F8" s="53">
        <v>506</v>
      </c>
    </row>
    <row r="9" spans="2:6" x14ac:dyDescent="0.3">
      <c r="B9" s="48" t="s">
        <v>17</v>
      </c>
      <c r="C9" s="48" t="b">
        <v>1</v>
      </c>
      <c r="D9"/>
      <c r="E9" s="19" t="s">
        <v>172</v>
      </c>
      <c r="F9" s="19" t="s">
        <v>191</v>
      </c>
    </row>
    <row r="10" spans="2:6" x14ac:dyDescent="0.3">
      <c r="B10" s="48" t="s">
        <v>153</v>
      </c>
      <c r="C10" s="48"/>
      <c r="D10"/>
      <c r="E10" s="19" t="s">
        <v>132</v>
      </c>
      <c r="F10" s="33" t="str">
        <f>IF(F9="Заключение эксперта (судебная экспертиза)",IF(C8=TRUE,"Никто","Оценщик"),IF(C6=TRUE,"Водитель","Никто"))</f>
        <v>Никто</v>
      </c>
    </row>
    <row r="11" spans="2:6" x14ac:dyDescent="0.3">
      <c r="B11" s="48" t="s">
        <v>171</v>
      </c>
      <c r="C11" s="48"/>
      <c r="D11"/>
      <c r="E11" s="19" t="s">
        <v>155</v>
      </c>
      <c r="F11" s="34">
        <f>IF(OR(F10="Никто",F10=""),0,IF(F10="Оценщик",'Калькулятор выезда'!F10,'Калькулятор выезда'!C10))/0.9</f>
        <v>0</v>
      </c>
    </row>
    <row r="12" spans="2:6" x14ac:dyDescent="0.3">
      <c r="B12" s="50" t="s">
        <v>170</v>
      </c>
      <c r="C12" s="48"/>
      <c r="D12"/>
      <c r="E12" s="19" t="s">
        <v>136</v>
      </c>
      <c r="F12" s="34">
        <f>IF(OR(F10="Никто",F10=""),0,IF(F10="Оценщик",'Калькулятор выезда'!F11,'Калькулятор выезда'!C11))*
IF(C7=TRUE,VLOOKUP(B7,Дополнительное!$A:$C,2,0),1)*
IF(C8=TRUE,VLOOKUP(B8,Дополнительное!$A:$C,2,0),1)*
IF(C9=TRUE,VLOOKUP(B9,Дополнительное!$A:$C,2,0),1)*
IF(C10=TRUE,VLOOKUP(B10,Дополнительное!$A:$C,2,0),1)*
IF(C11=TRUE,VLOOKUP(B11,Дополнительное!$A:$C,2,0),1)*
IF(C12=TRUE,VLOOKUP(B12,Дополнительное!$A:$C,2,0),1)*
IF(C13=TRUE,VLOOKUP(B13,Дополнительное!$A:$C,2,0),1)*
IF(F9="Заключение эксперта (судебная экспертиза)",2,1)</f>
        <v>0</v>
      </c>
    </row>
    <row r="13" spans="2:6" x14ac:dyDescent="0.3">
      <c r="B13" s="48" t="s">
        <v>158</v>
      </c>
      <c r="C13" s="48"/>
      <c r="D13"/>
      <c r="E13" s="19" t="s">
        <v>193</v>
      </c>
      <c r="F13" s="52">
        <f>IF(F7="ед.",VLOOKUP(F6,'Расчет наряда'!$C$2:$E$14,3,0)*F8,VLOOKUP(F6,Списки!$M$5:$N$11,2,0))*
IF(C7=TRUE,VLOOKUP(B7,Дополнительное!$A:$C,2,0),1)*
IF(C8=TRUE,VLOOKUP(B8,Дополнительное!$A:$C,2,0),1)*
IF(C9=TRUE,VLOOKUP(B9,Дополнительное!$A:$C,2,0),1)*
IF(C10=TRUE,VLOOKUP(B10,Дополнительное!$A:$C,2,0),1)*
IF(C11=TRUE,VLOOKUP(B11,Дополнительное!$A:$C,2,0),1)*
IF(C12=TRUE,VLOOKUP(B12,Дополнительное!$A:$C,2,0),1)*
IF(C13=TRUE,VLOOKUP(B13,Дополнительное!$A:$C,2,0),1)*
IF(C14=TRUE,VLOOKUP(B14,Дополнительное!$A:$C,2,0),1)*
IF(F9="Заключение эксперта (судебная экспертиза)",2,1)*
IF(F9="Экспертное заключение",0.9,1)</f>
        <v>54144.419179745899</v>
      </c>
    </row>
    <row r="14" spans="2:6" x14ac:dyDescent="0.3">
      <c r="B14" s="51" t="s">
        <v>173</v>
      </c>
      <c r="C14" s="48" t="b">
        <v>1</v>
      </c>
      <c r="D14"/>
      <c r="E14" s="19" t="s">
        <v>194</v>
      </c>
      <c r="F14" s="33" t="s">
        <v>190</v>
      </c>
    </row>
    <row r="15" spans="2:6" ht="18" x14ac:dyDescent="0.35">
      <c r="D15"/>
      <c r="E15" s="41" t="s">
        <v>195</v>
      </c>
      <c r="F15" s="37">
        <f>IF(
AND(F10="Водитель",F9="Заключение эксперта (судебная экспертиза)"),
"Водитель не может выехать на объект экспертизы по судебной экспертизе",
ROUND(
(F11+(F12+F13)/0.87*4),-2)+IF(C5&gt;=2,C5*VLOOKUP(B5,Дополнительное!$A$1:$B$12,2,0),0))</f>
        <v>258900</v>
      </c>
    </row>
    <row r="16" spans="2:6" ht="18" x14ac:dyDescent="0.35">
      <c r="B16" s="26" t="s">
        <v>169</v>
      </c>
    </row>
    <row r="17" spans="2:3" x14ac:dyDescent="0.3">
      <c r="B17" s="31" t="s">
        <v>137</v>
      </c>
      <c r="C17" s="31" t="s">
        <v>114</v>
      </c>
    </row>
    <row r="18" spans="2:3" x14ac:dyDescent="0.3">
      <c r="B18" s="19" t="s">
        <v>162</v>
      </c>
      <c r="C18" s="35">
        <v>45000</v>
      </c>
    </row>
  </sheetData>
  <conditionalFormatting sqref="F10">
    <cfRule type="expression" dxfId="2" priority="1">
      <formula>AND(F9="Заключение эксперта (судебка)",F10="Водитель")</formula>
    </cfRule>
  </conditionalFormatting>
  <dataValidations count="1">
    <dataValidation type="whole" allowBlank="1" showInputMessage="1" showErrorMessage="1" sqref="C5" xr:uid="{00000000-0002-0000-0000-000000000000}">
      <formula1>0</formula1>
      <formula2>10</formula2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1000000}">
          <x14:formula1>
            <xm:f>Списки!$A$2:$A$4</xm:f>
          </x14:formula1>
          <xm:sqref>F10</xm:sqref>
        </x14:dataValidation>
        <x14:dataValidation type="list" allowBlank="1" showInputMessage="1" showErrorMessage="1" xr:uid="{00000000-0002-0000-0000-000002000000}">
          <x14:formula1>
            <xm:f>Списки!$C$2:$C$3</xm:f>
          </x14:formula1>
          <xm:sqref>F14</xm:sqref>
        </x14:dataValidation>
        <x14:dataValidation type="list" allowBlank="1" showInputMessage="1" showErrorMessage="1" xr:uid="{00000000-0002-0000-0000-000003000000}">
          <x14:formula1>
            <xm:f>Списки!$E$2:$E$3</xm:f>
          </x14:formula1>
          <xm:sqref>C13:C14 C7:C11</xm:sqref>
        </x14:dataValidation>
        <x14:dataValidation type="list" allowBlank="1" showInputMessage="1" showErrorMessage="1" xr:uid="{00000000-0002-0000-0000-000004000000}">
          <x14:formula1>
            <xm:f>Списки!$G$2:$G$4</xm:f>
          </x14:formula1>
          <xm:sqref>F9</xm:sqref>
        </x14:dataValidation>
        <x14:dataValidation type="list" allowBlank="1" showInputMessage="1" showErrorMessage="1" xr:uid="{00000000-0002-0000-0000-000005000000}">
          <x14:formula1>
            <xm:f>Списки!$I$2:$I$5</xm:f>
          </x14:formula1>
          <xm:sqref>F5</xm:sqref>
        </x14:dataValidation>
        <x14:dataValidation type="list" allowBlank="1" showInputMessage="1" showErrorMessage="1" xr:uid="{00000000-0002-0000-0000-000006000000}">
          <x14:formula1>
            <xm:f>Списки!$K$2:$K$20</xm:f>
          </x14:formula1>
          <xm:sqref>F6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1"/>
  <dimension ref="B2:F17"/>
  <sheetViews>
    <sheetView workbookViewId="0">
      <selection activeCell="F12" sqref="F12"/>
    </sheetView>
  </sheetViews>
  <sheetFormatPr defaultRowHeight="14.4" x14ac:dyDescent="0.3"/>
  <cols>
    <col min="2" max="2" width="56.88671875" bestFit="1" customWidth="1"/>
    <col min="3" max="3" width="9.6640625" style="7" bestFit="1" customWidth="1"/>
    <col min="4" max="4" width="16.88671875" customWidth="1"/>
    <col min="5" max="5" width="56.88671875" bestFit="1" customWidth="1"/>
    <col min="6" max="6" width="9.6640625" bestFit="1" customWidth="1"/>
  </cols>
  <sheetData>
    <row r="2" spans="2:6" ht="18" x14ac:dyDescent="0.35">
      <c r="B2" s="14" t="s">
        <v>124</v>
      </c>
      <c r="E2" s="14" t="s">
        <v>112</v>
      </c>
    </row>
    <row r="4" spans="2:6" x14ac:dyDescent="0.3">
      <c r="B4" s="17" t="s">
        <v>113</v>
      </c>
      <c r="C4" s="18" t="s">
        <v>114</v>
      </c>
      <c r="E4" s="17" t="s">
        <v>113</v>
      </c>
      <c r="F4" s="18" t="s">
        <v>114</v>
      </c>
    </row>
    <row r="5" spans="2:6" x14ac:dyDescent="0.3">
      <c r="B5" s="19" t="s">
        <v>115</v>
      </c>
      <c r="C5" s="20">
        <v>67.5</v>
      </c>
      <c r="E5" s="19" t="s">
        <v>115</v>
      </c>
      <c r="F5" s="20">
        <f>C5</f>
        <v>67.5</v>
      </c>
    </row>
    <row r="6" spans="2:6" x14ac:dyDescent="0.3">
      <c r="B6" s="19" t="s">
        <v>116</v>
      </c>
      <c r="C6" s="20">
        <v>10</v>
      </c>
      <c r="E6" s="19" t="s">
        <v>116</v>
      </c>
      <c r="F6" s="20">
        <f t="shared" ref="F6:F9" si="0">C6</f>
        <v>10</v>
      </c>
    </row>
    <row r="7" spans="2:6" x14ac:dyDescent="0.3">
      <c r="B7" s="19" t="s">
        <v>117</v>
      </c>
      <c r="C7" s="20">
        <v>50</v>
      </c>
      <c r="E7" s="19" t="s">
        <v>117</v>
      </c>
      <c r="F7" s="20">
        <f t="shared" si="0"/>
        <v>50</v>
      </c>
    </row>
    <row r="8" spans="2:6" x14ac:dyDescent="0.3">
      <c r="B8" s="19" t="s">
        <v>118</v>
      </c>
      <c r="C8" s="20">
        <v>2</v>
      </c>
      <c r="E8" s="19" t="s">
        <v>118</v>
      </c>
      <c r="F8" s="20">
        <f t="shared" si="0"/>
        <v>2</v>
      </c>
    </row>
    <row r="9" spans="2:6" x14ac:dyDescent="0.3">
      <c r="B9" s="19" t="s">
        <v>128</v>
      </c>
      <c r="C9" s="20">
        <v>600</v>
      </c>
      <c r="E9" s="19" t="s">
        <v>128</v>
      </c>
      <c r="F9" s="20">
        <f t="shared" si="0"/>
        <v>600</v>
      </c>
    </row>
    <row r="10" spans="2:6" x14ac:dyDescent="0.3">
      <c r="B10" s="19" t="s">
        <v>129</v>
      </c>
      <c r="C10" s="21">
        <f>C7/C6*C5+C9</f>
        <v>937.5</v>
      </c>
      <c r="E10" s="19" t="s">
        <v>119</v>
      </c>
      <c r="F10" s="21">
        <f>F7/F6*F5+F9</f>
        <v>937.5</v>
      </c>
    </row>
    <row r="11" spans="2:6" x14ac:dyDescent="0.3">
      <c r="B11" s="19" t="s">
        <v>120</v>
      </c>
      <c r="C11" s="21">
        <f>C8/8*3000</f>
        <v>750</v>
      </c>
      <c r="E11" s="19" t="s">
        <v>122</v>
      </c>
      <c r="F11" s="21">
        <f>F8/8*6000</f>
        <v>1500</v>
      </c>
    </row>
    <row r="12" spans="2:6" ht="15.6" x14ac:dyDescent="0.3">
      <c r="B12" s="22" t="s">
        <v>121</v>
      </c>
      <c r="C12" s="23">
        <f>ROUND((C11/0.87*4+C10/0.9),-2)</f>
        <v>4500</v>
      </c>
      <c r="E12" s="22" t="s">
        <v>123</v>
      </c>
      <c r="F12" s="23">
        <f>ROUND((F11/0.87*4+F10/0.9),-2)</f>
        <v>7900</v>
      </c>
    </row>
    <row r="16" spans="2:6" x14ac:dyDescent="0.3">
      <c r="B16" s="25" t="s">
        <v>126</v>
      </c>
      <c r="C16" s="24" t="s">
        <v>125</v>
      </c>
    </row>
    <row r="17" spans="2:3" x14ac:dyDescent="0.3">
      <c r="B17" s="25" t="s">
        <v>127</v>
      </c>
      <c r="C17" s="24" t="s">
        <v>130</v>
      </c>
    </row>
  </sheetData>
  <hyperlinks>
    <hyperlink ref="C16" r:id="rId1" xr:uid="{00000000-0004-0000-0100-000000000000}"/>
    <hyperlink ref="C17" r:id="rId2" xr:uid="{00000000-0004-0000-0100-000001000000}"/>
  </hyperlinks>
  <pageMargins left="0.7" right="0.7" top="0.75" bottom="0.75" header="0.3" footer="0.3"/>
  <pageSetup paperSize="9" orientation="portrait"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4"/>
  <dimension ref="A3:D86"/>
  <sheetViews>
    <sheetView workbookViewId="0">
      <pane ySplit="3" topLeftCell="A70" activePane="bottomLeft" state="frozen"/>
      <selection pane="bottomLeft" activeCell="B56" sqref="B56"/>
    </sheetView>
  </sheetViews>
  <sheetFormatPr defaultRowHeight="14.4" x14ac:dyDescent="0.3"/>
  <cols>
    <col min="1" max="1" width="73.5546875" bestFit="1" customWidth="1"/>
    <col min="2" max="2" width="27.33203125" bestFit="1" customWidth="1"/>
    <col min="3" max="3" width="22" bestFit="1" customWidth="1"/>
    <col min="4" max="4" width="44.33203125" style="10" bestFit="1" customWidth="1"/>
  </cols>
  <sheetData>
    <row r="3" spans="1:4" x14ac:dyDescent="0.3">
      <c r="A3" s="8" t="s">
        <v>107</v>
      </c>
      <c r="B3" t="s">
        <v>108</v>
      </c>
      <c r="C3" t="s">
        <v>109</v>
      </c>
      <c r="D3" s="11" t="s">
        <v>110</v>
      </c>
    </row>
    <row r="4" spans="1:4" x14ac:dyDescent="0.3">
      <c r="A4" s="9" t="s">
        <v>19</v>
      </c>
      <c r="B4" s="6">
        <v>5150</v>
      </c>
      <c r="C4" s="6">
        <v>1.5</v>
      </c>
      <c r="D4" s="10">
        <f>ROUND($B4/4/1.13/1.05,500)</f>
        <v>1085.12431521281</v>
      </c>
    </row>
    <row r="5" spans="1:4" x14ac:dyDescent="0.3">
      <c r="A5" s="9" t="s">
        <v>18</v>
      </c>
      <c r="B5" s="6">
        <v>4233.333333333333</v>
      </c>
      <c r="C5" s="6">
        <v>1.5</v>
      </c>
      <c r="D5" s="10">
        <f t="shared" ref="D5:D68" si="0">ROUND($B5/4/1.13/1.05,500)</f>
        <v>891.97921056328096</v>
      </c>
    </row>
    <row r="6" spans="1:4" x14ac:dyDescent="0.3">
      <c r="A6" s="9" t="s">
        <v>20</v>
      </c>
      <c r="B6" s="6">
        <v>5750</v>
      </c>
      <c r="C6" s="6">
        <v>2</v>
      </c>
      <c r="D6" s="10">
        <f t="shared" si="0"/>
        <v>1211.5465655288699</v>
      </c>
    </row>
    <row r="7" spans="1:4" x14ac:dyDescent="0.3">
      <c r="A7" s="9" t="s">
        <v>26</v>
      </c>
      <c r="B7" s="6">
        <v>8875</v>
      </c>
      <c r="C7" s="6">
        <v>2.5</v>
      </c>
      <c r="D7" s="10">
        <f t="shared" si="0"/>
        <v>1869.9957859249901</v>
      </c>
    </row>
    <row r="8" spans="1:4" x14ac:dyDescent="0.3">
      <c r="A8" s="9" t="s">
        <v>27</v>
      </c>
      <c r="B8" s="6">
        <v>10666.666666666666</v>
      </c>
      <c r="C8" s="6">
        <v>3</v>
      </c>
      <c r="D8" s="10">
        <f t="shared" si="0"/>
        <v>2247.5066722854299</v>
      </c>
    </row>
    <row r="9" spans="1:4" x14ac:dyDescent="0.3">
      <c r="A9" s="9" t="s">
        <v>77</v>
      </c>
      <c r="B9" s="6">
        <v>6000</v>
      </c>
      <c r="C9" s="6">
        <v>3</v>
      </c>
      <c r="D9" s="10">
        <f t="shared" si="0"/>
        <v>1264.2225031605601</v>
      </c>
    </row>
    <row r="10" spans="1:4" x14ac:dyDescent="0.3">
      <c r="A10" s="9" t="s">
        <v>63</v>
      </c>
      <c r="B10" s="6">
        <v>58250</v>
      </c>
      <c r="C10" s="6">
        <v>5</v>
      </c>
      <c r="D10" s="10">
        <f t="shared" si="0"/>
        <v>12273.4934681837</v>
      </c>
    </row>
    <row r="11" spans="1:4" x14ac:dyDescent="0.3">
      <c r="A11" s="9" t="s">
        <v>62</v>
      </c>
      <c r="B11" s="6">
        <v>46250</v>
      </c>
      <c r="C11" s="6">
        <v>4.5</v>
      </c>
      <c r="D11" s="10">
        <f t="shared" si="0"/>
        <v>9745.0484618626197</v>
      </c>
    </row>
    <row r="12" spans="1:4" x14ac:dyDescent="0.3">
      <c r="A12" s="9" t="s">
        <v>60</v>
      </c>
      <c r="B12" s="6">
        <v>25000</v>
      </c>
      <c r="C12" s="6">
        <v>6.333333333333333</v>
      </c>
      <c r="D12" s="10">
        <f t="shared" si="0"/>
        <v>5267.5937631689803</v>
      </c>
    </row>
    <row r="13" spans="1:4" x14ac:dyDescent="0.3">
      <c r="A13" s="9" t="s">
        <v>61</v>
      </c>
      <c r="B13" s="6">
        <v>36250</v>
      </c>
      <c r="C13" s="6">
        <v>4.5</v>
      </c>
      <c r="D13" s="10">
        <f t="shared" si="0"/>
        <v>7638.0109565950297</v>
      </c>
    </row>
    <row r="14" spans="1:4" x14ac:dyDescent="0.3">
      <c r="A14" s="9" t="s">
        <v>59</v>
      </c>
      <c r="B14" s="6">
        <v>16166.666666666666</v>
      </c>
      <c r="C14" s="6">
        <v>4.25</v>
      </c>
      <c r="D14" s="10">
        <f t="shared" si="0"/>
        <v>3406.3773001826098</v>
      </c>
    </row>
    <row r="15" spans="1:4" x14ac:dyDescent="0.3">
      <c r="A15" s="9" t="s">
        <v>49</v>
      </c>
      <c r="B15" s="6">
        <v>40000</v>
      </c>
      <c r="C15" s="6">
        <v>2.5</v>
      </c>
      <c r="D15" s="10">
        <f t="shared" si="0"/>
        <v>8428.1500210703707</v>
      </c>
    </row>
    <row r="16" spans="1:4" x14ac:dyDescent="0.3">
      <c r="A16" s="9" t="s">
        <v>41</v>
      </c>
      <c r="B16" s="6">
        <v>20000</v>
      </c>
      <c r="C16" s="6"/>
      <c r="D16" s="10">
        <f t="shared" si="0"/>
        <v>4214.0750105351899</v>
      </c>
    </row>
    <row r="17" spans="1:4" x14ac:dyDescent="0.3">
      <c r="A17" s="9" t="s">
        <v>28</v>
      </c>
      <c r="B17" s="6">
        <v>26666.666666666668</v>
      </c>
      <c r="C17" s="6">
        <v>5</v>
      </c>
      <c r="D17" s="10">
        <f t="shared" si="0"/>
        <v>5618.7666807135802</v>
      </c>
    </row>
    <row r="18" spans="1:4" x14ac:dyDescent="0.3">
      <c r="A18" s="9" t="s">
        <v>12</v>
      </c>
      <c r="B18" s="6">
        <v>3000</v>
      </c>
      <c r="C18" s="6"/>
      <c r="D18" s="10">
        <f t="shared" si="0"/>
        <v>632.11125158027801</v>
      </c>
    </row>
    <row r="19" spans="1:4" x14ac:dyDescent="0.3">
      <c r="A19" s="9" t="s">
        <v>50</v>
      </c>
      <c r="B19" s="6">
        <v>26666.666666666668</v>
      </c>
      <c r="C19" s="6">
        <v>2.5</v>
      </c>
      <c r="D19" s="10">
        <f t="shared" si="0"/>
        <v>5618.7666807135802</v>
      </c>
    </row>
    <row r="20" spans="1:4" x14ac:dyDescent="0.3">
      <c r="A20" s="9" t="s">
        <v>8</v>
      </c>
      <c r="B20" s="6">
        <v>11000</v>
      </c>
      <c r="C20" s="6">
        <v>4.333333333333333</v>
      </c>
      <c r="D20" s="10">
        <f t="shared" si="0"/>
        <v>2317.7412557943499</v>
      </c>
    </row>
    <row r="21" spans="1:4" x14ac:dyDescent="0.3">
      <c r="A21" s="9" t="s">
        <v>9</v>
      </c>
      <c r="B21" s="6">
        <v>13750</v>
      </c>
      <c r="C21" s="6">
        <v>4.333333333333333</v>
      </c>
      <c r="D21" s="10">
        <f t="shared" si="0"/>
        <v>2897.17656974294</v>
      </c>
    </row>
    <row r="22" spans="1:4" x14ac:dyDescent="0.3">
      <c r="A22" s="9" t="s">
        <v>10</v>
      </c>
      <c r="B22" s="6">
        <v>43333.333333333336</v>
      </c>
      <c r="C22" s="6">
        <v>3</v>
      </c>
      <c r="D22" s="10">
        <f t="shared" si="0"/>
        <v>9130.4958561595704</v>
      </c>
    </row>
    <row r="23" spans="1:4" x14ac:dyDescent="0.3">
      <c r="A23" s="9" t="s">
        <v>71</v>
      </c>
      <c r="B23" s="6">
        <v>45000</v>
      </c>
      <c r="C23" s="6">
        <v>2</v>
      </c>
      <c r="D23" s="10">
        <f t="shared" si="0"/>
        <v>9481.6687737041702</v>
      </c>
    </row>
    <row r="24" spans="1:4" x14ac:dyDescent="0.3">
      <c r="A24" s="9" t="s">
        <v>69</v>
      </c>
      <c r="B24" s="6">
        <v>16500</v>
      </c>
      <c r="C24" s="6">
        <v>2</v>
      </c>
      <c r="D24" s="10">
        <f t="shared" si="0"/>
        <v>3476.6118836915298</v>
      </c>
    </row>
    <row r="25" spans="1:4" x14ac:dyDescent="0.3">
      <c r="A25" s="9" t="s">
        <v>72</v>
      </c>
      <c r="B25" s="6">
        <v>60000</v>
      </c>
      <c r="C25" s="6">
        <v>2</v>
      </c>
      <c r="D25" s="10">
        <f t="shared" si="0"/>
        <v>12642.2250316056</v>
      </c>
    </row>
    <row r="26" spans="1:4" x14ac:dyDescent="0.3">
      <c r="A26" s="9" t="s">
        <v>70</v>
      </c>
      <c r="B26" s="6">
        <v>26500</v>
      </c>
      <c r="C26" s="6">
        <v>2</v>
      </c>
      <c r="D26" s="10">
        <f t="shared" si="0"/>
        <v>5583.6493889591202</v>
      </c>
    </row>
    <row r="27" spans="1:4" x14ac:dyDescent="0.3">
      <c r="A27" s="9" t="s">
        <v>58</v>
      </c>
      <c r="B27" s="6">
        <v>14500</v>
      </c>
      <c r="C27" s="6">
        <v>6</v>
      </c>
      <c r="D27" s="10">
        <f t="shared" si="0"/>
        <v>3055.20438263801</v>
      </c>
    </row>
    <row r="28" spans="1:4" x14ac:dyDescent="0.3">
      <c r="A28" s="9" t="s">
        <v>57</v>
      </c>
      <c r="B28" s="6">
        <v>11125</v>
      </c>
      <c r="C28" s="6">
        <v>5</v>
      </c>
      <c r="D28" s="10">
        <f t="shared" si="0"/>
        <v>2344.0792246102001</v>
      </c>
    </row>
    <row r="29" spans="1:4" x14ac:dyDescent="0.3">
      <c r="A29" s="9" t="s">
        <v>73</v>
      </c>
      <c r="B29" s="6">
        <v>85000</v>
      </c>
      <c r="C29" s="6">
        <v>2</v>
      </c>
      <c r="D29" s="10">
        <f t="shared" si="0"/>
        <v>17909.818794774601</v>
      </c>
    </row>
    <row r="30" spans="1:4" x14ac:dyDescent="0.3">
      <c r="A30" s="9" t="s">
        <v>13</v>
      </c>
      <c r="B30" s="6">
        <v>24500</v>
      </c>
      <c r="C30" s="6">
        <v>6</v>
      </c>
      <c r="D30" s="10">
        <f t="shared" si="0"/>
        <v>5162.2418879056004</v>
      </c>
    </row>
    <row r="31" spans="1:4" x14ac:dyDescent="0.3">
      <c r="A31" s="9" t="s">
        <v>14</v>
      </c>
      <c r="B31" s="6">
        <v>49000</v>
      </c>
      <c r="C31" s="6">
        <v>8</v>
      </c>
      <c r="D31" s="10">
        <f t="shared" si="0"/>
        <v>10324.483775811201</v>
      </c>
    </row>
    <row r="32" spans="1:4" x14ac:dyDescent="0.3">
      <c r="A32" s="9" t="s">
        <v>78</v>
      </c>
      <c r="B32" s="6">
        <v>30000</v>
      </c>
      <c r="C32" s="6">
        <v>3</v>
      </c>
      <c r="D32" s="10">
        <f t="shared" si="0"/>
        <v>6321.1125158027799</v>
      </c>
    </row>
    <row r="33" spans="1:4" x14ac:dyDescent="0.3">
      <c r="A33" s="9" t="s">
        <v>42</v>
      </c>
      <c r="B33" s="6">
        <v>33333.333333333336</v>
      </c>
      <c r="C33" s="6">
        <v>5</v>
      </c>
      <c r="D33" s="10">
        <f t="shared" si="0"/>
        <v>7023.4583508919804</v>
      </c>
    </row>
    <row r="34" spans="1:4" x14ac:dyDescent="0.3">
      <c r="A34" s="9" t="s">
        <v>4</v>
      </c>
      <c r="B34" s="6">
        <v>4350</v>
      </c>
      <c r="C34" s="6">
        <v>1</v>
      </c>
      <c r="D34" s="10">
        <f t="shared" si="0"/>
        <v>916.56131479140299</v>
      </c>
    </row>
    <row r="35" spans="1:4" x14ac:dyDescent="0.3">
      <c r="A35" s="9" t="s">
        <v>5</v>
      </c>
      <c r="B35" s="6">
        <v>5357.1428571428569</v>
      </c>
      <c r="C35" s="6">
        <v>2.4</v>
      </c>
      <c r="D35" s="10">
        <f t="shared" si="0"/>
        <v>1128.77009210764</v>
      </c>
    </row>
    <row r="36" spans="1:4" x14ac:dyDescent="0.3">
      <c r="A36" s="9" t="s">
        <v>29</v>
      </c>
      <c r="B36" s="6">
        <v>34000</v>
      </c>
      <c r="C36" s="6">
        <v>6.4</v>
      </c>
      <c r="D36" s="10">
        <f t="shared" si="0"/>
        <v>7163.9275179098204</v>
      </c>
    </row>
    <row r="37" spans="1:4" x14ac:dyDescent="0.3">
      <c r="A37" s="9" t="s">
        <v>31</v>
      </c>
      <c r="B37" s="6">
        <v>162000</v>
      </c>
      <c r="C37" s="6">
        <v>12.75</v>
      </c>
      <c r="D37" s="10">
        <f t="shared" si="0"/>
        <v>34134.007585334999</v>
      </c>
    </row>
    <row r="38" spans="1:4" x14ac:dyDescent="0.3">
      <c r="A38" s="9" t="s">
        <v>48</v>
      </c>
      <c r="B38" s="6">
        <v>30000</v>
      </c>
      <c r="C38" s="6">
        <v>2.5</v>
      </c>
      <c r="D38" s="10">
        <f t="shared" si="0"/>
        <v>6321.1125158027799</v>
      </c>
    </row>
    <row r="39" spans="1:4" x14ac:dyDescent="0.3">
      <c r="A39" s="9" t="s">
        <v>68</v>
      </c>
      <c r="B39" s="6">
        <v>5633.333333333333</v>
      </c>
      <c r="C39" s="6">
        <v>3</v>
      </c>
      <c r="D39" s="10">
        <f t="shared" si="0"/>
        <v>1186.9644613007399</v>
      </c>
    </row>
    <row r="40" spans="1:4" x14ac:dyDescent="0.3">
      <c r="A40" s="9" t="s">
        <v>24</v>
      </c>
      <c r="B40" s="6">
        <v>32500</v>
      </c>
      <c r="C40" s="6">
        <v>4.333333333333333</v>
      </c>
      <c r="D40" s="10">
        <f t="shared" si="0"/>
        <v>6847.8718921196796</v>
      </c>
    </row>
    <row r="41" spans="1:4" x14ac:dyDescent="0.3">
      <c r="A41" s="9" t="s">
        <v>51</v>
      </c>
      <c r="B41" s="6">
        <v>33333.333333333336</v>
      </c>
      <c r="C41" s="6">
        <v>2.5</v>
      </c>
      <c r="D41" s="10">
        <f t="shared" si="0"/>
        <v>7023.4583508919804</v>
      </c>
    </row>
    <row r="42" spans="1:4" x14ac:dyDescent="0.3">
      <c r="A42" s="9" t="s">
        <v>21</v>
      </c>
      <c r="B42" s="6">
        <v>6000</v>
      </c>
      <c r="C42" s="6">
        <v>5</v>
      </c>
      <c r="D42" s="10">
        <f t="shared" si="0"/>
        <v>1264.2225031605601</v>
      </c>
    </row>
    <row r="43" spans="1:4" x14ac:dyDescent="0.3">
      <c r="A43" s="9" t="s">
        <v>66</v>
      </c>
      <c r="B43" s="6">
        <v>55000</v>
      </c>
      <c r="C43" s="6">
        <v>4.666666666666667</v>
      </c>
      <c r="D43" s="10">
        <f t="shared" si="0"/>
        <v>11588.7062789718</v>
      </c>
    </row>
    <row r="44" spans="1:4" x14ac:dyDescent="0.3">
      <c r="A44" s="9" t="s">
        <v>65</v>
      </c>
      <c r="B44" s="6">
        <v>38750</v>
      </c>
      <c r="C44" s="6">
        <v>4.666666666666667</v>
      </c>
      <c r="D44" s="10">
        <f t="shared" si="0"/>
        <v>8164.7703329119304</v>
      </c>
    </row>
    <row r="45" spans="1:4" x14ac:dyDescent="0.3">
      <c r="A45" s="9" t="s">
        <v>64</v>
      </c>
      <c r="B45" s="6">
        <v>31600</v>
      </c>
      <c r="C45" s="6">
        <v>4.666666666666667</v>
      </c>
      <c r="D45" s="10">
        <f t="shared" si="0"/>
        <v>6658.2385166455997</v>
      </c>
    </row>
    <row r="46" spans="1:4" x14ac:dyDescent="0.3">
      <c r="A46" s="9" t="s">
        <v>67</v>
      </c>
      <c r="B46" s="6">
        <v>79000</v>
      </c>
      <c r="C46" s="6">
        <v>5</v>
      </c>
      <c r="D46" s="10">
        <f t="shared" si="0"/>
        <v>16645.596291614002</v>
      </c>
    </row>
    <row r="47" spans="1:4" x14ac:dyDescent="0.3">
      <c r="A47" s="9" t="s">
        <v>16</v>
      </c>
      <c r="B47" s="6">
        <v>55000</v>
      </c>
      <c r="C47" s="6">
        <v>7</v>
      </c>
      <c r="D47" s="10">
        <f t="shared" si="0"/>
        <v>11588.7062789718</v>
      </c>
    </row>
    <row r="48" spans="1:4" x14ac:dyDescent="0.3">
      <c r="A48" s="12" t="s">
        <v>79</v>
      </c>
      <c r="B48" s="6">
        <v>22500</v>
      </c>
      <c r="C48" s="6">
        <v>5</v>
      </c>
      <c r="D48" s="10">
        <f t="shared" si="0"/>
        <v>4740.8343868520897</v>
      </c>
    </row>
    <row r="49" spans="1:4" x14ac:dyDescent="0.3">
      <c r="A49" s="9" t="s">
        <v>22</v>
      </c>
      <c r="B49" s="6">
        <v>500</v>
      </c>
      <c r="C49" s="6"/>
      <c r="D49" s="10">
        <f t="shared" si="0"/>
        <v>105.35187526337999</v>
      </c>
    </row>
    <row r="50" spans="1:4" x14ac:dyDescent="0.3">
      <c r="A50" s="9" t="s">
        <v>17</v>
      </c>
      <c r="B50" s="6">
        <v>19000</v>
      </c>
      <c r="C50" s="6">
        <v>2</v>
      </c>
      <c r="D50" s="10">
        <f t="shared" si="0"/>
        <v>4003.37126000843</v>
      </c>
    </row>
    <row r="51" spans="1:4" x14ac:dyDescent="0.3">
      <c r="A51" s="9" t="s">
        <v>104</v>
      </c>
      <c r="B51" s="6">
        <v>20000</v>
      </c>
      <c r="C51" s="6"/>
      <c r="D51" s="10">
        <f t="shared" si="0"/>
        <v>4214.0750105351899</v>
      </c>
    </row>
    <row r="52" spans="1:4" x14ac:dyDescent="0.3">
      <c r="A52" s="9" t="s">
        <v>15</v>
      </c>
      <c r="B52" s="6">
        <v>26333.333333333332</v>
      </c>
      <c r="C52" s="6"/>
      <c r="D52" s="10">
        <f t="shared" si="0"/>
        <v>5548.5320972046602</v>
      </c>
    </row>
    <row r="53" spans="1:4" x14ac:dyDescent="0.3">
      <c r="A53" s="9" t="s">
        <v>103</v>
      </c>
      <c r="B53" s="6">
        <v>25000</v>
      </c>
      <c r="C53" s="6"/>
      <c r="D53" s="10">
        <f t="shared" si="0"/>
        <v>5267.5937631689803</v>
      </c>
    </row>
    <row r="54" spans="1:4" x14ac:dyDescent="0.3">
      <c r="A54" s="9" t="s">
        <v>47</v>
      </c>
      <c r="B54" s="6">
        <v>28333.333333333332</v>
      </c>
      <c r="C54" s="6">
        <v>2.5</v>
      </c>
      <c r="D54" s="10">
        <f t="shared" si="0"/>
        <v>5969.93959825818</v>
      </c>
    </row>
    <row r="55" spans="1:4" x14ac:dyDescent="0.3">
      <c r="A55" s="12" t="s">
        <v>44</v>
      </c>
      <c r="B55" s="6">
        <v>12000</v>
      </c>
      <c r="C55" s="6"/>
      <c r="D55" s="10">
        <f t="shared" si="0"/>
        <v>2528.4450063211102</v>
      </c>
    </row>
    <row r="56" spans="1:4" x14ac:dyDescent="0.3">
      <c r="A56" s="9" t="s">
        <v>43</v>
      </c>
      <c r="B56" s="6">
        <v>2214.2857142857142</v>
      </c>
      <c r="C56" s="6">
        <v>3.6666666666666665</v>
      </c>
      <c r="D56" s="10">
        <f t="shared" si="0"/>
        <v>466.55830473782402</v>
      </c>
    </row>
    <row r="57" spans="1:4" x14ac:dyDescent="0.3">
      <c r="A57" s="9" t="s">
        <v>30</v>
      </c>
      <c r="B57" s="6">
        <v>70833.333333333328</v>
      </c>
      <c r="C57" s="6">
        <v>9.5</v>
      </c>
      <c r="D57" s="10">
        <f t="shared" si="0"/>
        <v>14924.8489956455</v>
      </c>
    </row>
    <row r="58" spans="1:4" x14ac:dyDescent="0.3">
      <c r="A58" s="9" t="s">
        <v>23</v>
      </c>
      <c r="B58" s="6">
        <v>11500</v>
      </c>
      <c r="C58" s="6">
        <v>3.6666666666666665</v>
      </c>
      <c r="D58" s="10">
        <f t="shared" si="0"/>
        <v>2423.0931310577298</v>
      </c>
    </row>
    <row r="59" spans="1:4" x14ac:dyDescent="0.3">
      <c r="A59" s="9" t="s">
        <v>83</v>
      </c>
      <c r="B59" s="6">
        <v>20000</v>
      </c>
      <c r="C59" s="6">
        <v>3</v>
      </c>
      <c r="D59" s="10">
        <f t="shared" si="0"/>
        <v>4214.0750105351899</v>
      </c>
    </row>
    <row r="60" spans="1:4" x14ac:dyDescent="0.3">
      <c r="A60" s="9" t="s">
        <v>92</v>
      </c>
      <c r="B60" s="6">
        <v>50000</v>
      </c>
      <c r="C60" s="6">
        <v>7</v>
      </c>
      <c r="D60" s="10">
        <f t="shared" si="0"/>
        <v>10535.187526338001</v>
      </c>
    </row>
    <row r="61" spans="1:4" x14ac:dyDescent="0.3">
      <c r="A61" s="9" t="s">
        <v>93</v>
      </c>
      <c r="B61" s="6">
        <v>60000</v>
      </c>
      <c r="C61" s="6">
        <v>7</v>
      </c>
      <c r="D61" s="10">
        <f t="shared" si="0"/>
        <v>12642.2250316056</v>
      </c>
    </row>
    <row r="62" spans="1:4" x14ac:dyDescent="0.3">
      <c r="A62" s="9" t="s">
        <v>86</v>
      </c>
      <c r="B62" s="6">
        <v>40000</v>
      </c>
      <c r="C62" s="6">
        <v>5</v>
      </c>
      <c r="D62" s="10">
        <f t="shared" si="0"/>
        <v>8428.1500210703707</v>
      </c>
    </row>
    <row r="63" spans="1:4" x14ac:dyDescent="0.3">
      <c r="A63" s="9" t="s">
        <v>96</v>
      </c>
      <c r="B63" s="6">
        <v>30000</v>
      </c>
      <c r="C63" s="6">
        <v>7</v>
      </c>
      <c r="D63" s="10">
        <f t="shared" si="0"/>
        <v>6321.1125158027799</v>
      </c>
    </row>
    <row r="64" spans="1:4" x14ac:dyDescent="0.3">
      <c r="A64" s="9" t="s">
        <v>85</v>
      </c>
      <c r="B64" s="6">
        <v>100000</v>
      </c>
      <c r="C64" s="6">
        <v>7</v>
      </c>
      <c r="D64" s="10">
        <f t="shared" si="0"/>
        <v>21070.375052675899</v>
      </c>
    </row>
    <row r="65" spans="1:4" x14ac:dyDescent="0.3">
      <c r="A65" s="9" t="s">
        <v>87</v>
      </c>
      <c r="B65" s="6">
        <v>60000</v>
      </c>
      <c r="C65" s="6">
        <v>7</v>
      </c>
      <c r="D65" s="10">
        <f t="shared" si="0"/>
        <v>12642.2250316056</v>
      </c>
    </row>
    <row r="66" spans="1:4" x14ac:dyDescent="0.3">
      <c r="A66" s="9" t="s">
        <v>88</v>
      </c>
      <c r="B66" s="6">
        <v>60000</v>
      </c>
      <c r="C66" s="6">
        <v>7</v>
      </c>
      <c r="D66" s="10">
        <f t="shared" si="0"/>
        <v>12642.2250316056</v>
      </c>
    </row>
    <row r="67" spans="1:4" x14ac:dyDescent="0.3">
      <c r="A67" s="9" t="s">
        <v>89</v>
      </c>
      <c r="B67" s="6">
        <v>30000</v>
      </c>
      <c r="C67" s="6">
        <v>7</v>
      </c>
      <c r="D67" s="10">
        <f t="shared" si="0"/>
        <v>6321.1125158027799</v>
      </c>
    </row>
    <row r="68" spans="1:4" x14ac:dyDescent="0.3">
      <c r="A68" s="9" t="s">
        <v>90</v>
      </c>
      <c r="B68" s="6">
        <v>80000</v>
      </c>
      <c r="C68" s="6">
        <v>5</v>
      </c>
      <c r="D68" s="10">
        <f t="shared" si="0"/>
        <v>16856.300042140701</v>
      </c>
    </row>
    <row r="69" spans="1:4" x14ac:dyDescent="0.3">
      <c r="A69" s="9" t="s">
        <v>82</v>
      </c>
      <c r="B69" s="6">
        <v>50000</v>
      </c>
      <c r="C69" s="6">
        <v>7</v>
      </c>
      <c r="D69" s="10">
        <f t="shared" ref="D69:D86" si="1">ROUND($B69/4/1.13/1.05,500)</f>
        <v>10535.187526338001</v>
      </c>
    </row>
    <row r="70" spans="1:4" x14ac:dyDescent="0.3">
      <c r="A70" s="9" t="s">
        <v>91</v>
      </c>
      <c r="B70" s="6">
        <v>30000</v>
      </c>
      <c r="C70" s="6">
        <v>5</v>
      </c>
      <c r="D70" s="10">
        <f t="shared" si="1"/>
        <v>6321.1125158027799</v>
      </c>
    </row>
    <row r="71" spans="1:4" x14ac:dyDescent="0.3">
      <c r="A71" s="9" t="s">
        <v>80</v>
      </c>
      <c r="B71" s="6">
        <v>30000</v>
      </c>
      <c r="C71" s="6">
        <v>3</v>
      </c>
      <c r="D71" s="10">
        <f t="shared" si="1"/>
        <v>6321.1125158027799</v>
      </c>
    </row>
    <row r="72" spans="1:4" x14ac:dyDescent="0.3">
      <c r="A72" s="9" t="s">
        <v>95</v>
      </c>
      <c r="B72" s="6">
        <v>10000</v>
      </c>
      <c r="C72" s="6">
        <v>7</v>
      </c>
      <c r="D72" s="10">
        <f t="shared" si="1"/>
        <v>2107.0375052675899</v>
      </c>
    </row>
    <row r="73" spans="1:4" x14ac:dyDescent="0.3">
      <c r="A73" s="9" t="s">
        <v>84</v>
      </c>
      <c r="B73" s="6">
        <v>15000</v>
      </c>
      <c r="C73" s="6">
        <v>3</v>
      </c>
      <c r="D73" s="10">
        <f t="shared" si="1"/>
        <v>3160.5562579013899</v>
      </c>
    </row>
    <row r="74" spans="1:4" x14ac:dyDescent="0.3">
      <c r="A74" s="9" t="s">
        <v>98</v>
      </c>
      <c r="B74" s="6">
        <v>10000</v>
      </c>
      <c r="C74" s="6">
        <v>5</v>
      </c>
      <c r="D74" s="10">
        <f t="shared" si="1"/>
        <v>2107.0375052675899</v>
      </c>
    </row>
    <row r="75" spans="1:4" x14ac:dyDescent="0.3">
      <c r="A75" s="9" t="s">
        <v>97</v>
      </c>
      <c r="B75" s="6">
        <v>10000</v>
      </c>
      <c r="C75" s="6">
        <v>5</v>
      </c>
      <c r="D75" s="10">
        <f t="shared" si="1"/>
        <v>2107.0375052675899</v>
      </c>
    </row>
    <row r="76" spans="1:4" x14ac:dyDescent="0.3">
      <c r="A76" s="9" t="s">
        <v>94</v>
      </c>
      <c r="B76" s="6">
        <v>15000</v>
      </c>
      <c r="C76" s="6">
        <v>7</v>
      </c>
      <c r="D76" s="10">
        <f t="shared" si="1"/>
        <v>3160.5562579013899</v>
      </c>
    </row>
    <row r="77" spans="1:4" x14ac:dyDescent="0.3">
      <c r="A77" s="9" t="s">
        <v>99</v>
      </c>
      <c r="B77" s="6">
        <v>5000</v>
      </c>
      <c r="C77" s="6">
        <v>7</v>
      </c>
      <c r="D77" s="10">
        <f t="shared" si="1"/>
        <v>1053.5187526338</v>
      </c>
    </row>
    <row r="78" spans="1:4" x14ac:dyDescent="0.3">
      <c r="A78" s="9" t="s">
        <v>81</v>
      </c>
      <c r="B78" s="6">
        <v>20000</v>
      </c>
      <c r="C78" s="6">
        <v>5</v>
      </c>
      <c r="D78" s="10">
        <f t="shared" si="1"/>
        <v>4214.0750105351899</v>
      </c>
    </row>
    <row r="79" spans="1:4" x14ac:dyDescent="0.3">
      <c r="A79" s="9" t="s">
        <v>25</v>
      </c>
      <c r="B79" s="6">
        <v>32500</v>
      </c>
      <c r="C79" s="6">
        <v>5</v>
      </c>
      <c r="D79" s="10">
        <f t="shared" si="1"/>
        <v>6847.8718921196796</v>
      </c>
    </row>
    <row r="80" spans="1:4" x14ac:dyDescent="0.3">
      <c r="A80" s="9" t="s">
        <v>46</v>
      </c>
      <c r="B80" s="6">
        <v>30000</v>
      </c>
      <c r="C80" s="6">
        <v>2.5</v>
      </c>
      <c r="D80" s="10">
        <f t="shared" si="1"/>
        <v>6321.1125158027799</v>
      </c>
    </row>
    <row r="81" spans="1:4" x14ac:dyDescent="0.3">
      <c r="A81" s="9" t="s">
        <v>56</v>
      </c>
      <c r="B81" s="6">
        <v>55333.333333333336</v>
      </c>
      <c r="C81" s="6">
        <v>3.5</v>
      </c>
      <c r="D81" s="10">
        <f t="shared" si="1"/>
        <v>11658.9408624807</v>
      </c>
    </row>
    <row r="82" spans="1:4" x14ac:dyDescent="0.3">
      <c r="A82" s="9" t="s">
        <v>55</v>
      </c>
      <c r="B82" s="6">
        <v>27500</v>
      </c>
      <c r="C82" s="6">
        <v>2.6666666666666665</v>
      </c>
      <c r="D82" s="10">
        <f t="shared" si="1"/>
        <v>5794.3531394858801</v>
      </c>
    </row>
    <row r="83" spans="1:4" x14ac:dyDescent="0.3">
      <c r="A83" s="9" t="s">
        <v>32</v>
      </c>
      <c r="B83" s="6">
        <v>21500</v>
      </c>
      <c r="C83" s="6">
        <v>10.333333333333334</v>
      </c>
      <c r="D83" s="10">
        <f t="shared" si="1"/>
        <v>4530.1306363253298</v>
      </c>
    </row>
    <row r="84" spans="1:4" x14ac:dyDescent="0.3">
      <c r="A84" s="9" t="s">
        <v>11</v>
      </c>
      <c r="B84" s="6">
        <v>25000</v>
      </c>
      <c r="C84" s="6">
        <v>4</v>
      </c>
      <c r="D84" s="10">
        <f t="shared" si="1"/>
        <v>5267.5937631689803</v>
      </c>
    </row>
    <row r="85" spans="1:4" x14ac:dyDescent="0.3">
      <c r="A85" s="9" t="s">
        <v>6</v>
      </c>
      <c r="B85" s="6">
        <v>7600</v>
      </c>
      <c r="C85" s="6">
        <v>3</v>
      </c>
      <c r="D85" s="10">
        <f t="shared" si="1"/>
        <v>1601.34850400337</v>
      </c>
    </row>
    <row r="86" spans="1:4" x14ac:dyDescent="0.3">
      <c r="D86" s="10">
        <f t="shared" si="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5"/>
  <dimension ref="A1:G438"/>
  <sheetViews>
    <sheetView workbookViewId="0">
      <pane ySplit="1" topLeftCell="A43" activePane="bottomLeft" state="frozen"/>
      <selection pane="bottomLeft" activeCell="C74" sqref="C74"/>
    </sheetView>
  </sheetViews>
  <sheetFormatPr defaultColWidth="9.109375" defaultRowHeight="14.4" x14ac:dyDescent="0.3"/>
  <cols>
    <col min="1" max="1" width="61.109375" style="3" bestFit="1" customWidth="1"/>
    <col min="2" max="2" width="10.6640625" style="3" bestFit="1" customWidth="1"/>
    <col min="3" max="3" width="26" style="3" bestFit="1" customWidth="1"/>
    <col min="4" max="5" width="12.88671875" style="3" customWidth="1"/>
    <col min="6" max="6" width="58.6640625" style="3" bestFit="1" customWidth="1"/>
    <col min="7" max="7" width="21.109375" style="3" bestFit="1" customWidth="1"/>
    <col min="8" max="16384" width="9.109375" style="3"/>
  </cols>
  <sheetData>
    <row r="1" spans="1:7" s="2" customFormat="1" ht="24.75" customHeight="1" x14ac:dyDescent="0.3">
      <c r="A1" s="1" t="s">
        <v>0</v>
      </c>
      <c r="B1" s="1" t="s">
        <v>1</v>
      </c>
      <c r="C1" s="1" t="s">
        <v>39</v>
      </c>
      <c r="D1" s="1" t="s">
        <v>38</v>
      </c>
      <c r="E1" s="1" t="s">
        <v>40</v>
      </c>
      <c r="F1" s="1" t="s">
        <v>2</v>
      </c>
      <c r="G1" s="1" t="s">
        <v>52</v>
      </c>
    </row>
    <row r="2" spans="1:7" x14ac:dyDescent="0.3">
      <c r="A2" s="3" t="s">
        <v>4</v>
      </c>
      <c r="B2" s="3">
        <v>2200</v>
      </c>
      <c r="F2" s="3" t="s">
        <v>3</v>
      </c>
    </row>
    <row r="3" spans="1:7" x14ac:dyDescent="0.3">
      <c r="A3" s="3" t="s">
        <v>5</v>
      </c>
      <c r="B3" s="3">
        <v>3500</v>
      </c>
      <c r="F3" s="3" t="s">
        <v>3</v>
      </c>
    </row>
    <row r="4" spans="1:7" x14ac:dyDescent="0.3">
      <c r="A4" s="3" t="s">
        <v>6</v>
      </c>
      <c r="B4" s="3">
        <v>6000</v>
      </c>
      <c r="F4" s="3" t="s">
        <v>3</v>
      </c>
    </row>
    <row r="5" spans="1:7" x14ac:dyDescent="0.3">
      <c r="A5" s="3" t="s">
        <v>44</v>
      </c>
      <c r="B5" s="3">
        <v>12000</v>
      </c>
      <c r="F5" s="3" t="s">
        <v>3</v>
      </c>
    </row>
    <row r="6" spans="1:7" x14ac:dyDescent="0.3">
      <c r="A6" s="3" t="s">
        <v>57</v>
      </c>
      <c r="B6" s="3">
        <v>3500</v>
      </c>
      <c r="C6" s="3" t="s">
        <v>7</v>
      </c>
      <c r="F6" s="3" t="s">
        <v>3</v>
      </c>
    </row>
    <row r="7" spans="1:7" x14ac:dyDescent="0.3">
      <c r="A7" s="3" t="s">
        <v>58</v>
      </c>
      <c r="B7" s="3">
        <v>5000</v>
      </c>
      <c r="C7" s="3" t="s">
        <v>7</v>
      </c>
      <c r="F7" s="3" t="s">
        <v>3</v>
      </c>
    </row>
    <row r="8" spans="1:7" x14ac:dyDescent="0.3">
      <c r="A8" s="3" t="s">
        <v>8</v>
      </c>
      <c r="B8" s="3">
        <v>5000</v>
      </c>
      <c r="C8" s="3" t="s">
        <v>7</v>
      </c>
      <c r="F8" s="3" t="s">
        <v>3</v>
      </c>
    </row>
    <row r="9" spans="1:7" x14ac:dyDescent="0.3">
      <c r="A9" s="3" t="s">
        <v>9</v>
      </c>
      <c r="B9" s="3">
        <v>7000</v>
      </c>
      <c r="C9" s="3" t="s">
        <v>7</v>
      </c>
      <c r="F9" s="3" t="s">
        <v>3</v>
      </c>
    </row>
    <row r="10" spans="1:7" x14ac:dyDescent="0.3">
      <c r="A10" s="3" t="s">
        <v>10</v>
      </c>
      <c r="B10" s="3">
        <v>85000</v>
      </c>
      <c r="C10" s="3" t="s">
        <v>7</v>
      </c>
      <c r="F10" s="3" t="s">
        <v>3</v>
      </c>
    </row>
    <row r="11" spans="1:7" x14ac:dyDescent="0.3">
      <c r="A11" s="3" t="s">
        <v>11</v>
      </c>
      <c r="B11" s="3">
        <v>15000</v>
      </c>
      <c r="C11" s="3" t="s">
        <v>7</v>
      </c>
      <c r="F11" s="3" t="s">
        <v>3</v>
      </c>
    </row>
    <row r="12" spans="1:7" x14ac:dyDescent="0.3">
      <c r="A12" s="3" t="s">
        <v>12</v>
      </c>
      <c r="B12" s="3">
        <v>3000</v>
      </c>
      <c r="F12" s="3" t="s">
        <v>3</v>
      </c>
    </row>
    <row r="13" spans="1:7" x14ac:dyDescent="0.3">
      <c r="A13" s="3" t="s">
        <v>13</v>
      </c>
      <c r="B13" s="3">
        <v>15000</v>
      </c>
      <c r="C13" s="3" t="s">
        <v>7</v>
      </c>
      <c r="F13" s="3" t="s">
        <v>3</v>
      </c>
    </row>
    <row r="14" spans="1:7" x14ac:dyDescent="0.3">
      <c r="A14" s="3" t="s">
        <v>14</v>
      </c>
      <c r="B14" s="3">
        <v>18000</v>
      </c>
      <c r="C14" s="3" t="s">
        <v>7</v>
      </c>
      <c r="F14" s="3" t="s">
        <v>3</v>
      </c>
    </row>
    <row r="15" spans="1:7" x14ac:dyDescent="0.3">
      <c r="A15" s="3" t="s">
        <v>15</v>
      </c>
      <c r="B15" s="3">
        <v>30000</v>
      </c>
      <c r="F15" s="3" t="s">
        <v>3</v>
      </c>
    </row>
    <row r="16" spans="1:7" x14ac:dyDescent="0.3">
      <c r="A16" s="4" t="s">
        <v>55</v>
      </c>
      <c r="B16" s="5">
        <v>10000</v>
      </c>
      <c r="F16" s="3" t="s">
        <v>3</v>
      </c>
    </row>
    <row r="17" spans="1:6" x14ac:dyDescent="0.3">
      <c r="A17" s="4" t="s">
        <v>56</v>
      </c>
      <c r="B17" s="3">
        <v>15000</v>
      </c>
      <c r="C17" s="3" t="s">
        <v>7</v>
      </c>
      <c r="F17" s="3" t="s">
        <v>3</v>
      </c>
    </row>
    <row r="18" spans="1:6" x14ac:dyDescent="0.3">
      <c r="A18" s="3" t="s">
        <v>59</v>
      </c>
      <c r="B18" s="3">
        <v>8000</v>
      </c>
      <c r="F18" s="3" t="s">
        <v>3</v>
      </c>
    </row>
    <row r="19" spans="1:6" x14ac:dyDescent="0.3">
      <c r="A19" s="3" t="s">
        <v>60</v>
      </c>
      <c r="B19" s="3">
        <v>12000</v>
      </c>
      <c r="F19" s="3" t="s">
        <v>3</v>
      </c>
    </row>
    <row r="20" spans="1:6" x14ac:dyDescent="0.3">
      <c r="A20" s="3" t="s">
        <v>61</v>
      </c>
      <c r="B20" s="3">
        <v>25000</v>
      </c>
      <c r="F20" s="3" t="s">
        <v>3</v>
      </c>
    </row>
    <row r="21" spans="1:6" x14ac:dyDescent="0.3">
      <c r="A21" s="3" t="s">
        <v>62</v>
      </c>
      <c r="B21" s="3">
        <v>30000</v>
      </c>
      <c r="F21" s="3" t="s">
        <v>3</v>
      </c>
    </row>
    <row r="22" spans="1:6" x14ac:dyDescent="0.3">
      <c r="A22" s="3" t="s">
        <v>63</v>
      </c>
      <c r="B22" s="3">
        <v>35000</v>
      </c>
      <c r="C22" s="3" t="s">
        <v>7</v>
      </c>
      <c r="F22" s="3" t="s">
        <v>3</v>
      </c>
    </row>
    <row r="23" spans="1:6" x14ac:dyDescent="0.3">
      <c r="A23" s="3" t="s">
        <v>64</v>
      </c>
      <c r="B23" s="5">
        <v>15000</v>
      </c>
      <c r="F23" s="3" t="s">
        <v>3</v>
      </c>
    </row>
    <row r="24" spans="1:6" x14ac:dyDescent="0.3">
      <c r="A24" s="3" t="s">
        <v>65</v>
      </c>
      <c r="B24" s="5">
        <v>20000</v>
      </c>
      <c r="F24" s="3" t="s">
        <v>3</v>
      </c>
    </row>
    <row r="25" spans="1:6" x14ac:dyDescent="0.3">
      <c r="A25" s="3" t="s">
        <v>66</v>
      </c>
      <c r="B25" s="5">
        <v>25000</v>
      </c>
      <c r="F25" s="3" t="s">
        <v>3</v>
      </c>
    </row>
    <row r="26" spans="1:6" x14ac:dyDescent="0.3">
      <c r="A26" s="3" t="s">
        <v>16</v>
      </c>
      <c r="B26" s="5">
        <v>30000</v>
      </c>
      <c r="C26" s="3" t="s">
        <v>7</v>
      </c>
      <c r="F26" s="3" t="s">
        <v>3</v>
      </c>
    </row>
    <row r="27" spans="1:6" x14ac:dyDescent="0.3">
      <c r="A27" s="3" t="s">
        <v>68</v>
      </c>
      <c r="B27" s="5">
        <v>3000</v>
      </c>
      <c r="F27" s="3" t="s">
        <v>3</v>
      </c>
    </row>
    <row r="28" spans="1:6" x14ac:dyDescent="0.3">
      <c r="A28" s="3" t="s">
        <v>17</v>
      </c>
      <c r="B28" s="5">
        <v>10000</v>
      </c>
      <c r="C28" s="3" t="s">
        <v>7</v>
      </c>
      <c r="F28" s="3" t="s">
        <v>3</v>
      </c>
    </row>
    <row r="29" spans="1:6" x14ac:dyDescent="0.3">
      <c r="A29" s="3" t="s">
        <v>18</v>
      </c>
      <c r="B29" s="5">
        <v>1500</v>
      </c>
      <c r="F29" s="3" t="s">
        <v>3</v>
      </c>
    </row>
    <row r="30" spans="1:6" x14ac:dyDescent="0.3">
      <c r="A30" s="3" t="s">
        <v>19</v>
      </c>
      <c r="B30" s="5">
        <v>2000</v>
      </c>
      <c r="F30" s="3" t="s">
        <v>3</v>
      </c>
    </row>
    <row r="31" spans="1:6" x14ac:dyDescent="0.3">
      <c r="A31" s="3" t="s">
        <v>20</v>
      </c>
      <c r="B31" s="5">
        <v>5000</v>
      </c>
      <c r="F31" s="3" t="s">
        <v>3</v>
      </c>
    </row>
    <row r="32" spans="1:6" x14ac:dyDescent="0.3">
      <c r="A32" s="3" t="s">
        <v>21</v>
      </c>
      <c r="B32" s="5">
        <v>2000</v>
      </c>
      <c r="C32" s="3" t="s">
        <v>7</v>
      </c>
      <c r="F32" s="3" t="s">
        <v>3</v>
      </c>
    </row>
    <row r="33" spans="1:7" x14ac:dyDescent="0.3">
      <c r="A33" s="3" t="s">
        <v>22</v>
      </c>
      <c r="B33" s="3">
        <v>500</v>
      </c>
      <c r="C33" s="3" t="s">
        <v>7</v>
      </c>
      <c r="F33" s="3" t="s">
        <v>3</v>
      </c>
    </row>
    <row r="34" spans="1:7" x14ac:dyDescent="0.3">
      <c r="A34" s="3" t="s">
        <v>43</v>
      </c>
      <c r="B34" s="5">
        <v>1500</v>
      </c>
      <c r="F34" s="3" t="s">
        <v>3</v>
      </c>
      <c r="G34" s="3" t="s">
        <v>53</v>
      </c>
    </row>
    <row r="35" spans="1:7" x14ac:dyDescent="0.3">
      <c r="A35" s="3" t="s">
        <v>23</v>
      </c>
      <c r="B35" s="5">
        <v>5000</v>
      </c>
      <c r="F35" s="3" t="s">
        <v>3</v>
      </c>
    </row>
    <row r="36" spans="1:7" x14ac:dyDescent="0.3">
      <c r="A36" s="3" t="s">
        <v>24</v>
      </c>
      <c r="B36" s="5">
        <v>15000</v>
      </c>
      <c r="F36" s="3" t="s">
        <v>3</v>
      </c>
    </row>
    <row r="37" spans="1:7" x14ac:dyDescent="0.3">
      <c r="A37" s="3" t="s">
        <v>25</v>
      </c>
      <c r="B37" s="5">
        <v>20000</v>
      </c>
      <c r="F37" s="3" t="s">
        <v>3</v>
      </c>
    </row>
    <row r="38" spans="1:7" x14ac:dyDescent="0.3">
      <c r="A38" s="3" t="s">
        <v>26</v>
      </c>
      <c r="B38" s="5">
        <v>3500</v>
      </c>
      <c r="F38" s="3" t="s">
        <v>3</v>
      </c>
    </row>
    <row r="39" spans="1:7" x14ac:dyDescent="0.3">
      <c r="A39" s="3" t="s">
        <v>27</v>
      </c>
      <c r="B39" s="5">
        <v>5000</v>
      </c>
      <c r="F39" s="3" t="s">
        <v>3</v>
      </c>
    </row>
    <row r="40" spans="1:7" x14ac:dyDescent="0.3">
      <c r="A40" s="3" t="s">
        <v>28</v>
      </c>
      <c r="B40" s="5">
        <v>10000</v>
      </c>
      <c r="F40" s="3" t="s">
        <v>3</v>
      </c>
    </row>
    <row r="41" spans="1:7" x14ac:dyDescent="0.3">
      <c r="A41" s="3" t="s">
        <v>29</v>
      </c>
      <c r="B41" s="5">
        <v>30000</v>
      </c>
      <c r="C41" s="3" t="s">
        <v>7</v>
      </c>
      <c r="F41" s="3" t="s">
        <v>3</v>
      </c>
    </row>
    <row r="42" spans="1:7" x14ac:dyDescent="0.3">
      <c r="A42" s="3" t="s">
        <v>30</v>
      </c>
      <c r="B42" s="5">
        <v>80000</v>
      </c>
      <c r="C42" s="3" t="s">
        <v>7</v>
      </c>
      <c r="F42" s="3" t="s">
        <v>3</v>
      </c>
    </row>
    <row r="43" spans="1:7" x14ac:dyDescent="0.3">
      <c r="A43" s="3" t="s">
        <v>31</v>
      </c>
      <c r="B43" s="5">
        <v>200000</v>
      </c>
      <c r="C43" s="3" t="s">
        <v>7</v>
      </c>
      <c r="F43" s="3" t="s">
        <v>3</v>
      </c>
    </row>
    <row r="44" spans="1:7" x14ac:dyDescent="0.3">
      <c r="A44" s="3" t="s">
        <v>32</v>
      </c>
      <c r="B44" s="5">
        <v>2500</v>
      </c>
      <c r="C44" s="3" t="s">
        <v>7</v>
      </c>
      <c r="F44" s="3" t="s">
        <v>3</v>
      </c>
    </row>
    <row r="45" spans="1:7" x14ac:dyDescent="0.3">
      <c r="A45" s="3" t="s">
        <v>4</v>
      </c>
      <c r="F45" s="3" t="s">
        <v>45</v>
      </c>
    </row>
    <row r="46" spans="1:7" x14ac:dyDescent="0.3">
      <c r="A46" s="3" t="s">
        <v>5</v>
      </c>
      <c r="B46" s="5">
        <v>5500</v>
      </c>
      <c r="C46" s="3" t="s">
        <v>7</v>
      </c>
      <c r="D46" s="3">
        <v>2</v>
      </c>
      <c r="E46" s="3" t="s">
        <v>7</v>
      </c>
      <c r="F46" s="3" t="s">
        <v>45</v>
      </c>
    </row>
    <row r="47" spans="1:7" x14ac:dyDescent="0.3">
      <c r="A47" s="3" t="s">
        <v>6</v>
      </c>
      <c r="B47" s="5">
        <v>10000</v>
      </c>
      <c r="C47" s="3" t="s">
        <v>7</v>
      </c>
      <c r="D47" s="3">
        <v>3</v>
      </c>
      <c r="E47" s="3" t="s">
        <v>7</v>
      </c>
      <c r="F47" s="3" t="s">
        <v>45</v>
      </c>
    </row>
    <row r="48" spans="1:7" x14ac:dyDescent="0.3">
      <c r="A48" s="3" t="s">
        <v>44</v>
      </c>
      <c r="F48" s="3" t="s">
        <v>45</v>
      </c>
    </row>
    <row r="49" spans="1:6" x14ac:dyDescent="0.3">
      <c r="A49" s="3" t="s">
        <v>57</v>
      </c>
      <c r="B49" s="5">
        <v>12000</v>
      </c>
      <c r="C49" s="3" t="s">
        <v>7</v>
      </c>
      <c r="D49" s="3">
        <v>3</v>
      </c>
      <c r="E49" s="3" t="s">
        <v>7</v>
      </c>
      <c r="F49" s="3" t="s">
        <v>45</v>
      </c>
    </row>
    <row r="50" spans="1:6" x14ac:dyDescent="0.3">
      <c r="A50" s="3" t="s">
        <v>58</v>
      </c>
      <c r="B50" s="5">
        <v>15000</v>
      </c>
      <c r="C50" s="3" t="s">
        <v>7</v>
      </c>
      <c r="D50" s="3">
        <v>5</v>
      </c>
      <c r="E50" s="3" t="s">
        <v>7</v>
      </c>
      <c r="F50" s="3" t="s">
        <v>45</v>
      </c>
    </row>
    <row r="51" spans="1:6" x14ac:dyDescent="0.3">
      <c r="A51" s="3" t="s">
        <v>8</v>
      </c>
      <c r="B51" s="5">
        <v>15000</v>
      </c>
      <c r="C51" s="3" t="s">
        <v>7</v>
      </c>
      <c r="D51" s="3">
        <v>5</v>
      </c>
      <c r="E51" s="3" t="s">
        <v>7</v>
      </c>
      <c r="F51" s="3" t="s">
        <v>45</v>
      </c>
    </row>
    <row r="52" spans="1:6" x14ac:dyDescent="0.3">
      <c r="A52" s="3" t="s">
        <v>9</v>
      </c>
      <c r="B52" s="5">
        <v>18000</v>
      </c>
      <c r="C52" s="3" t="s">
        <v>7</v>
      </c>
      <c r="D52" s="3">
        <v>5</v>
      </c>
      <c r="E52" s="3" t="s">
        <v>7</v>
      </c>
      <c r="F52" s="3" t="s">
        <v>45</v>
      </c>
    </row>
    <row r="53" spans="1:6" x14ac:dyDescent="0.3">
      <c r="A53" s="3" t="s">
        <v>10</v>
      </c>
      <c r="B53" s="5">
        <v>25000</v>
      </c>
      <c r="C53" s="3" t="s">
        <v>7</v>
      </c>
      <c r="D53" s="3">
        <v>5</v>
      </c>
      <c r="E53" s="3" t="s">
        <v>7</v>
      </c>
      <c r="F53" s="3" t="s">
        <v>45</v>
      </c>
    </row>
    <row r="54" spans="1:6" x14ac:dyDescent="0.3">
      <c r="A54" s="3" t="s">
        <v>11</v>
      </c>
      <c r="B54" s="5">
        <v>35000</v>
      </c>
      <c r="C54" s="3" t="s">
        <v>7</v>
      </c>
      <c r="D54" s="3">
        <v>7</v>
      </c>
      <c r="E54" s="3" t="s">
        <v>7</v>
      </c>
      <c r="F54" s="3" t="s">
        <v>45</v>
      </c>
    </row>
    <row r="55" spans="1:6" x14ac:dyDescent="0.3">
      <c r="A55" s="3" t="s">
        <v>12</v>
      </c>
      <c r="F55" s="3" t="s">
        <v>45</v>
      </c>
    </row>
    <row r="56" spans="1:6" x14ac:dyDescent="0.3">
      <c r="A56" s="3" t="s">
        <v>13</v>
      </c>
      <c r="B56" s="5">
        <v>35000</v>
      </c>
      <c r="C56" s="3" t="s">
        <v>7</v>
      </c>
      <c r="D56" s="3">
        <v>10</v>
      </c>
      <c r="E56" s="3" t="s">
        <v>7</v>
      </c>
      <c r="F56" s="3" t="s">
        <v>45</v>
      </c>
    </row>
    <row r="57" spans="1:6" x14ac:dyDescent="0.3">
      <c r="A57" s="3" t="s">
        <v>14</v>
      </c>
      <c r="B57" s="5">
        <v>65000</v>
      </c>
      <c r="C57" s="3" t="s">
        <v>7</v>
      </c>
      <c r="D57" s="3">
        <v>14</v>
      </c>
      <c r="E57" s="3" t="s">
        <v>7</v>
      </c>
      <c r="F57" s="3" t="s">
        <v>45</v>
      </c>
    </row>
    <row r="58" spans="1:6" x14ac:dyDescent="0.3">
      <c r="A58" s="3" t="s">
        <v>15</v>
      </c>
      <c r="F58" s="3" t="s">
        <v>45</v>
      </c>
    </row>
    <row r="59" spans="1:6" x14ac:dyDescent="0.3">
      <c r="A59" s="4" t="s">
        <v>55</v>
      </c>
      <c r="B59" s="5">
        <v>60000</v>
      </c>
      <c r="C59" s="3" t="s">
        <v>7</v>
      </c>
      <c r="D59" s="3">
        <v>5</v>
      </c>
      <c r="E59" s="3" t="s">
        <v>7</v>
      </c>
      <c r="F59" s="3" t="s">
        <v>45</v>
      </c>
    </row>
    <row r="60" spans="1:6" x14ac:dyDescent="0.3">
      <c r="A60" s="4" t="s">
        <v>56</v>
      </c>
      <c r="B60" s="5">
        <v>85000</v>
      </c>
      <c r="C60" s="3" t="s">
        <v>7</v>
      </c>
      <c r="D60" s="3">
        <v>5</v>
      </c>
      <c r="E60" s="3" t="s">
        <v>7</v>
      </c>
      <c r="F60" s="3" t="s">
        <v>45</v>
      </c>
    </row>
    <row r="61" spans="1:6" x14ac:dyDescent="0.3">
      <c r="A61" s="3" t="s">
        <v>59</v>
      </c>
      <c r="B61" s="5">
        <v>18000</v>
      </c>
      <c r="C61" s="3" t="s">
        <v>7</v>
      </c>
      <c r="D61" s="3">
        <v>7</v>
      </c>
      <c r="E61" s="3" t="s">
        <v>7</v>
      </c>
      <c r="F61" s="3" t="s">
        <v>45</v>
      </c>
    </row>
    <row r="62" spans="1:6" x14ac:dyDescent="0.3">
      <c r="A62" s="3" t="s">
        <v>60</v>
      </c>
      <c r="B62" s="5">
        <v>25000</v>
      </c>
      <c r="C62" s="3" t="s">
        <v>7</v>
      </c>
      <c r="D62" s="3">
        <v>10</v>
      </c>
      <c r="E62" s="3" t="s">
        <v>7</v>
      </c>
      <c r="F62" s="3" t="s">
        <v>45</v>
      </c>
    </row>
    <row r="63" spans="1:6" x14ac:dyDescent="0.3">
      <c r="A63" s="3" t="s">
        <v>61</v>
      </c>
      <c r="F63" s="3" t="s">
        <v>45</v>
      </c>
    </row>
    <row r="64" spans="1:6" x14ac:dyDescent="0.3">
      <c r="A64" s="3" t="s">
        <v>62</v>
      </c>
      <c r="F64" s="3" t="s">
        <v>45</v>
      </c>
    </row>
    <row r="65" spans="1:7" x14ac:dyDescent="0.3">
      <c r="A65" s="3" t="s">
        <v>63</v>
      </c>
      <c r="F65" s="3" t="s">
        <v>45</v>
      </c>
    </row>
    <row r="66" spans="1:7" x14ac:dyDescent="0.3">
      <c r="A66" s="3" t="s">
        <v>64</v>
      </c>
      <c r="B66" s="5">
        <v>25000</v>
      </c>
      <c r="C66" s="3" t="s">
        <v>7</v>
      </c>
      <c r="D66" s="3">
        <v>5</v>
      </c>
      <c r="E66" s="3" t="s">
        <v>7</v>
      </c>
      <c r="F66" s="3" t="s">
        <v>45</v>
      </c>
    </row>
    <row r="67" spans="1:7" x14ac:dyDescent="0.3">
      <c r="A67" s="3" t="s">
        <v>65</v>
      </c>
      <c r="B67" s="5">
        <v>40000</v>
      </c>
      <c r="C67" s="3" t="s">
        <v>7</v>
      </c>
      <c r="D67" s="3">
        <v>5</v>
      </c>
      <c r="E67" s="3" t="s">
        <v>7</v>
      </c>
      <c r="F67" s="3" t="s">
        <v>45</v>
      </c>
    </row>
    <row r="68" spans="1:7" x14ac:dyDescent="0.3">
      <c r="A68" s="3" t="s">
        <v>66</v>
      </c>
      <c r="B68" s="5">
        <v>70000</v>
      </c>
      <c r="C68" s="3" t="s">
        <v>7</v>
      </c>
      <c r="D68" s="3">
        <v>5</v>
      </c>
      <c r="E68" s="3" t="s">
        <v>7</v>
      </c>
      <c r="F68" s="3" t="s">
        <v>45</v>
      </c>
    </row>
    <row r="69" spans="1:7" x14ac:dyDescent="0.3">
      <c r="A69" s="3" t="s">
        <v>16</v>
      </c>
      <c r="B69" s="5">
        <v>80000</v>
      </c>
      <c r="C69" s="3" t="s">
        <v>7</v>
      </c>
      <c r="D69" s="3">
        <v>7</v>
      </c>
      <c r="E69" s="3" t="s">
        <v>7</v>
      </c>
      <c r="F69" s="3" t="s">
        <v>45</v>
      </c>
    </row>
    <row r="70" spans="1:7" x14ac:dyDescent="0.3">
      <c r="A70" s="3" t="s">
        <v>68</v>
      </c>
      <c r="B70" s="5">
        <v>6000</v>
      </c>
      <c r="C70" s="3" t="s">
        <v>7</v>
      </c>
      <c r="D70" s="3">
        <v>3</v>
      </c>
      <c r="E70" s="3" t="s">
        <v>7</v>
      </c>
      <c r="F70" s="3" t="s">
        <v>45</v>
      </c>
    </row>
    <row r="71" spans="1:7" x14ac:dyDescent="0.3">
      <c r="A71" s="3" t="s">
        <v>17</v>
      </c>
      <c r="F71" s="3" t="s">
        <v>45</v>
      </c>
    </row>
    <row r="72" spans="1:7" x14ac:dyDescent="0.3">
      <c r="A72" s="3" t="s">
        <v>18</v>
      </c>
      <c r="B72" s="5">
        <v>6000</v>
      </c>
      <c r="D72" s="3">
        <v>2</v>
      </c>
      <c r="E72" s="3" t="s">
        <v>7</v>
      </c>
      <c r="F72" s="3" t="s">
        <v>45</v>
      </c>
    </row>
    <row r="73" spans="1:7" x14ac:dyDescent="0.3">
      <c r="A73" s="3" t="s">
        <v>19</v>
      </c>
      <c r="B73" s="5">
        <v>6000</v>
      </c>
      <c r="D73" s="3">
        <v>2</v>
      </c>
      <c r="E73" s="3" t="s">
        <v>7</v>
      </c>
      <c r="F73" s="3" t="s">
        <v>45</v>
      </c>
    </row>
    <row r="74" spans="1:7" x14ac:dyDescent="0.3">
      <c r="A74" s="3" t="s">
        <v>20</v>
      </c>
      <c r="B74" s="5">
        <v>10000</v>
      </c>
      <c r="D74" s="3">
        <v>3</v>
      </c>
      <c r="E74" s="3" t="s">
        <v>7</v>
      </c>
      <c r="F74" s="3" t="s">
        <v>45</v>
      </c>
    </row>
    <row r="75" spans="1:7" x14ac:dyDescent="0.3">
      <c r="A75" s="3" t="s">
        <v>21</v>
      </c>
      <c r="F75" s="3" t="s">
        <v>45</v>
      </c>
    </row>
    <row r="76" spans="1:7" x14ac:dyDescent="0.3">
      <c r="A76" s="3" t="s">
        <v>22</v>
      </c>
      <c r="F76" s="3" t="s">
        <v>45</v>
      </c>
    </row>
    <row r="77" spans="1:7" x14ac:dyDescent="0.3">
      <c r="A77" s="3" t="s">
        <v>43</v>
      </c>
      <c r="B77" s="3">
        <v>200</v>
      </c>
      <c r="C77" s="3" t="s">
        <v>54</v>
      </c>
      <c r="F77" s="3" t="s">
        <v>45</v>
      </c>
      <c r="G77" s="3" t="s">
        <v>53</v>
      </c>
    </row>
    <row r="78" spans="1:7" x14ac:dyDescent="0.3">
      <c r="A78" s="3" t="s">
        <v>23</v>
      </c>
      <c r="B78" s="5">
        <v>10000</v>
      </c>
      <c r="C78" s="3" t="s">
        <v>7</v>
      </c>
      <c r="D78" s="3">
        <v>3</v>
      </c>
      <c r="E78" s="3" t="s">
        <v>7</v>
      </c>
      <c r="F78" s="3" t="s">
        <v>45</v>
      </c>
    </row>
    <row r="79" spans="1:7" x14ac:dyDescent="0.3">
      <c r="A79" s="3" t="s">
        <v>24</v>
      </c>
      <c r="B79" s="5">
        <v>20000</v>
      </c>
      <c r="C79" s="3" t="s">
        <v>7</v>
      </c>
      <c r="D79" s="3">
        <v>7</v>
      </c>
      <c r="E79" s="3" t="s">
        <v>7</v>
      </c>
      <c r="F79" s="3" t="s">
        <v>45</v>
      </c>
    </row>
    <row r="80" spans="1:7" x14ac:dyDescent="0.3">
      <c r="A80" s="3" t="s">
        <v>25</v>
      </c>
      <c r="B80" s="5">
        <v>25000</v>
      </c>
      <c r="C80" s="3" t="s">
        <v>7</v>
      </c>
      <c r="D80" s="3">
        <v>7</v>
      </c>
      <c r="E80" s="3" t="s">
        <v>7</v>
      </c>
      <c r="F80" s="3" t="s">
        <v>45</v>
      </c>
    </row>
    <row r="81" spans="1:6" x14ac:dyDescent="0.3">
      <c r="A81" s="3" t="s">
        <v>26</v>
      </c>
      <c r="B81" s="5">
        <v>5000</v>
      </c>
      <c r="C81" s="3" t="s">
        <v>7</v>
      </c>
      <c r="D81" s="3">
        <v>2</v>
      </c>
      <c r="E81" s="3" t="s">
        <v>7</v>
      </c>
      <c r="F81" s="3" t="s">
        <v>45</v>
      </c>
    </row>
    <row r="82" spans="1:6" x14ac:dyDescent="0.3">
      <c r="A82" s="3" t="s">
        <v>27</v>
      </c>
      <c r="F82" s="3" t="s">
        <v>45</v>
      </c>
    </row>
    <row r="83" spans="1:6" x14ac:dyDescent="0.3">
      <c r="A83" s="3" t="s">
        <v>28</v>
      </c>
      <c r="F83" s="3" t="s">
        <v>45</v>
      </c>
    </row>
    <row r="84" spans="1:6" x14ac:dyDescent="0.3">
      <c r="A84" s="3" t="s">
        <v>29</v>
      </c>
      <c r="B84" s="5">
        <v>40000</v>
      </c>
      <c r="C84" s="3" t="s">
        <v>7</v>
      </c>
      <c r="D84" s="3">
        <v>10</v>
      </c>
      <c r="E84" s="3" t="s">
        <v>7</v>
      </c>
      <c r="F84" s="3" t="s">
        <v>45</v>
      </c>
    </row>
    <row r="85" spans="1:6" x14ac:dyDescent="0.3">
      <c r="A85" s="3" t="s">
        <v>30</v>
      </c>
      <c r="B85" s="5">
        <v>60000</v>
      </c>
      <c r="D85" s="3">
        <v>14</v>
      </c>
      <c r="E85" s="3" t="s">
        <v>7</v>
      </c>
      <c r="F85" s="3" t="s">
        <v>45</v>
      </c>
    </row>
    <row r="86" spans="1:6" x14ac:dyDescent="0.3">
      <c r="A86" s="3" t="s">
        <v>31</v>
      </c>
      <c r="D86" s="3">
        <v>20</v>
      </c>
      <c r="E86" s="3" t="s">
        <v>7</v>
      </c>
      <c r="F86" s="3" t="s">
        <v>45</v>
      </c>
    </row>
    <row r="87" spans="1:6" x14ac:dyDescent="0.3">
      <c r="A87" s="3" t="s">
        <v>32</v>
      </c>
      <c r="B87" s="5">
        <v>40000</v>
      </c>
      <c r="C87" s="3" t="s">
        <v>7</v>
      </c>
      <c r="D87" s="3">
        <v>14</v>
      </c>
      <c r="E87" s="3" t="s">
        <v>7</v>
      </c>
      <c r="F87" s="3" t="s">
        <v>45</v>
      </c>
    </row>
    <row r="88" spans="1:6" x14ac:dyDescent="0.3">
      <c r="A88" s="3" t="s">
        <v>41</v>
      </c>
      <c r="B88" s="5">
        <v>20000</v>
      </c>
      <c r="C88" s="3" t="s">
        <v>7</v>
      </c>
      <c r="F88" s="3" t="s">
        <v>45</v>
      </c>
    </row>
    <row r="89" spans="1:6" x14ac:dyDescent="0.3">
      <c r="A89" s="3" t="s">
        <v>42</v>
      </c>
      <c r="B89" s="5">
        <v>35000</v>
      </c>
      <c r="C89" s="3" t="s">
        <v>7</v>
      </c>
      <c r="F89" s="3" t="s">
        <v>45</v>
      </c>
    </row>
    <row r="90" spans="1:6" x14ac:dyDescent="0.3">
      <c r="A90" s="3" t="s">
        <v>4</v>
      </c>
      <c r="B90" s="5">
        <v>6500</v>
      </c>
      <c r="C90" s="3" t="s">
        <v>7</v>
      </c>
      <c r="D90" s="3">
        <v>1</v>
      </c>
      <c r="E90" s="3" t="s">
        <v>7</v>
      </c>
      <c r="F90" s="3" t="s">
        <v>74</v>
      </c>
    </row>
    <row r="91" spans="1:6" x14ac:dyDescent="0.3">
      <c r="A91" s="3" t="s">
        <v>5</v>
      </c>
      <c r="B91" s="5">
        <v>6500</v>
      </c>
      <c r="C91" s="3" t="s">
        <v>7</v>
      </c>
      <c r="D91" s="3">
        <v>1</v>
      </c>
      <c r="E91" s="3" t="s">
        <v>7</v>
      </c>
      <c r="F91" s="3" t="s">
        <v>74</v>
      </c>
    </row>
    <row r="92" spans="1:6" x14ac:dyDescent="0.3">
      <c r="A92" s="3" t="s">
        <v>6</v>
      </c>
      <c r="B92" s="5">
        <v>7000</v>
      </c>
      <c r="C92" s="3" t="s">
        <v>7</v>
      </c>
      <c r="D92" s="3">
        <v>1</v>
      </c>
      <c r="E92" s="3" t="s">
        <v>7</v>
      </c>
      <c r="F92" s="3" t="s">
        <v>74</v>
      </c>
    </row>
    <row r="93" spans="1:6" x14ac:dyDescent="0.3">
      <c r="A93" s="3" t="s">
        <v>44</v>
      </c>
      <c r="F93" s="3" t="s">
        <v>74</v>
      </c>
    </row>
    <row r="94" spans="1:6" x14ac:dyDescent="0.3">
      <c r="A94" s="3" t="s">
        <v>57</v>
      </c>
      <c r="B94" s="5">
        <v>14000</v>
      </c>
      <c r="F94" s="3" t="s">
        <v>74</v>
      </c>
    </row>
    <row r="95" spans="1:6" x14ac:dyDescent="0.3">
      <c r="A95" s="3" t="s">
        <v>58</v>
      </c>
      <c r="B95" s="5">
        <v>18000</v>
      </c>
      <c r="F95" s="3" t="s">
        <v>74</v>
      </c>
    </row>
    <row r="96" spans="1:6" x14ac:dyDescent="0.3">
      <c r="A96" s="3" t="s">
        <v>8</v>
      </c>
      <c r="B96" s="5">
        <v>14000</v>
      </c>
      <c r="C96" s="3" t="s">
        <v>7</v>
      </c>
      <c r="D96" s="3">
        <v>1</v>
      </c>
      <c r="E96" s="3" t="s">
        <v>7</v>
      </c>
      <c r="F96" s="3" t="s">
        <v>74</v>
      </c>
    </row>
    <row r="97" spans="1:6" x14ac:dyDescent="0.3">
      <c r="A97" s="3" t="s">
        <v>9</v>
      </c>
      <c r="B97" s="5">
        <v>18000</v>
      </c>
      <c r="C97" s="3" t="s">
        <v>7</v>
      </c>
      <c r="D97" s="3">
        <v>1</v>
      </c>
      <c r="E97" s="3" t="s">
        <v>7</v>
      </c>
      <c r="F97" s="3" t="s">
        <v>74</v>
      </c>
    </row>
    <row r="98" spans="1:6" x14ac:dyDescent="0.3">
      <c r="A98" s="3" t="s">
        <v>10</v>
      </c>
      <c r="B98" s="5">
        <v>20000</v>
      </c>
      <c r="C98" s="3" t="s">
        <v>7</v>
      </c>
      <c r="D98" s="3">
        <v>1</v>
      </c>
      <c r="E98" s="3" t="s">
        <v>7</v>
      </c>
      <c r="F98" s="3" t="s">
        <v>74</v>
      </c>
    </row>
    <row r="99" spans="1:6" x14ac:dyDescent="0.3">
      <c r="A99" s="3" t="s">
        <v>11</v>
      </c>
      <c r="B99" s="5">
        <v>25000</v>
      </c>
      <c r="C99" s="3" t="s">
        <v>7</v>
      </c>
      <c r="D99" s="3">
        <v>1</v>
      </c>
      <c r="E99" s="3" t="s">
        <v>7</v>
      </c>
      <c r="F99" s="3" t="s">
        <v>74</v>
      </c>
    </row>
    <row r="100" spans="1:6" x14ac:dyDescent="0.3">
      <c r="A100" s="3" t="s">
        <v>12</v>
      </c>
      <c r="F100" s="3" t="s">
        <v>74</v>
      </c>
    </row>
    <row r="101" spans="1:6" x14ac:dyDescent="0.3">
      <c r="A101" s="3" t="s">
        <v>13</v>
      </c>
      <c r="B101" s="5">
        <v>30000</v>
      </c>
      <c r="C101" s="3" t="s">
        <v>7</v>
      </c>
      <c r="D101" s="3">
        <v>2</v>
      </c>
      <c r="E101" s="3" t="s">
        <v>7</v>
      </c>
      <c r="F101" s="3" t="s">
        <v>74</v>
      </c>
    </row>
    <row r="102" spans="1:6" x14ac:dyDescent="0.3">
      <c r="A102" s="3" t="s">
        <v>14</v>
      </c>
      <c r="B102" s="5">
        <v>88000</v>
      </c>
      <c r="C102" s="3" t="s">
        <v>7</v>
      </c>
      <c r="D102" s="3">
        <v>2</v>
      </c>
      <c r="E102" s="3" t="s">
        <v>7</v>
      </c>
      <c r="F102" s="3" t="s">
        <v>74</v>
      </c>
    </row>
    <row r="103" spans="1:6" x14ac:dyDescent="0.3">
      <c r="A103" s="3" t="s">
        <v>15</v>
      </c>
      <c r="F103" s="3" t="s">
        <v>74</v>
      </c>
    </row>
    <row r="104" spans="1:6" x14ac:dyDescent="0.3">
      <c r="A104" s="4" t="s">
        <v>55</v>
      </c>
      <c r="B104" s="5">
        <v>30000</v>
      </c>
      <c r="C104" s="3" t="s">
        <v>7</v>
      </c>
      <c r="D104" s="3">
        <v>2</v>
      </c>
      <c r="E104" s="3" t="s">
        <v>7</v>
      </c>
      <c r="F104" s="3" t="s">
        <v>74</v>
      </c>
    </row>
    <row r="105" spans="1:6" x14ac:dyDescent="0.3">
      <c r="A105" s="4" t="s">
        <v>56</v>
      </c>
      <c r="B105" s="5">
        <v>66000</v>
      </c>
      <c r="C105" s="3" t="s">
        <v>7</v>
      </c>
      <c r="D105" s="3">
        <v>2</v>
      </c>
      <c r="E105" s="3" t="s">
        <v>7</v>
      </c>
      <c r="F105" s="3" t="s">
        <v>74</v>
      </c>
    </row>
    <row r="106" spans="1:6" x14ac:dyDescent="0.3">
      <c r="A106" s="3" t="s">
        <v>59</v>
      </c>
      <c r="B106" s="5">
        <v>28000</v>
      </c>
      <c r="C106" s="3" t="s">
        <v>7</v>
      </c>
      <c r="D106" s="3">
        <v>2</v>
      </c>
      <c r="E106" s="3" t="s">
        <v>7</v>
      </c>
      <c r="F106" s="3" t="s">
        <v>74</v>
      </c>
    </row>
    <row r="107" spans="1:6" x14ac:dyDescent="0.3">
      <c r="A107" s="3" t="s">
        <v>60</v>
      </c>
      <c r="B107" s="3">
        <v>38000</v>
      </c>
      <c r="C107" s="3" t="s">
        <v>7</v>
      </c>
      <c r="D107" s="3">
        <v>2</v>
      </c>
      <c r="E107" s="3" t="s">
        <v>7</v>
      </c>
      <c r="F107" s="3" t="s">
        <v>74</v>
      </c>
    </row>
    <row r="108" spans="1:6" x14ac:dyDescent="0.3">
      <c r="A108" s="3" t="s">
        <v>61</v>
      </c>
      <c r="B108" s="3">
        <v>55000</v>
      </c>
      <c r="C108" s="3" t="s">
        <v>7</v>
      </c>
      <c r="D108" s="3">
        <v>2</v>
      </c>
      <c r="E108" s="3" t="s">
        <v>7</v>
      </c>
      <c r="F108" s="3" t="s">
        <v>74</v>
      </c>
    </row>
    <row r="109" spans="1:6" x14ac:dyDescent="0.3">
      <c r="A109" s="3" t="s">
        <v>62</v>
      </c>
      <c r="B109" s="3">
        <v>75000</v>
      </c>
      <c r="C109" s="3" t="s">
        <v>7</v>
      </c>
      <c r="D109" s="3">
        <v>2</v>
      </c>
      <c r="E109" s="3" t="s">
        <v>7</v>
      </c>
      <c r="F109" s="3" t="s">
        <v>74</v>
      </c>
    </row>
    <row r="110" spans="1:6" x14ac:dyDescent="0.3">
      <c r="A110" s="3" t="s">
        <v>63</v>
      </c>
      <c r="B110" s="3">
        <v>98000</v>
      </c>
      <c r="C110" s="3" t="s">
        <v>7</v>
      </c>
      <c r="D110" s="3">
        <v>3</v>
      </c>
      <c r="E110" s="3" t="s">
        <v>7</v>
      </c>
      <c r="F110" s="3" t="s">
        <v>74</v>
      </c>
    </row>
    <row r="111" spans="1:6" x14ac:dyDescent="0.3">
      <c r="A111" s="3" t="s">
        <v>64</v>
      </c>
      <c r="B111" s="3">
        <v>38000</v>
      </c>
      <c r="C111" s="3" t="s">
        <v>7</v>
      </c>
      <c r="D111" s="3">
        <v>2</v>
      </c>
      <c r="E111" s="3" t="s">
        <v>7</v>
      </c>
      <c r="F111" s="3" t="s">
        <v>74</v>
      </c>
    </row>
    <row r="112" spans="1:6" x14ac:dyDescent="0.3">
      <c r="A112" s="3" t="s">
        <v>65</v>
      </c>
      <c r="B112" s="3">
        <v>55000</v>
      </c>
      <c r="C112" s="3" t="s">
        <v>7</v>
      </c>
      <c r="D112" s="3">
        <v>2</v>
      </c>
      <c r="E112" s="3" t="s">
        <v>7</v>
      </c>
      <c r="F112" s="3" t="s">
        <v>74</v>
      </c>
    </row>
    <row r="113" spans="1:6" x14ac:dyDescent="0.3">
      <c r="A113" s="3" t="s">
        <v>66</v>
      </c>
      <c r="B113" s="3">
        <v>75000</v>
      </c>
      <c r="C113" s="3" t="s">
        <v>7</v>
      </c>
      <c r="D113" s="3">
        <v>2</v>
      </c>
      <c r="E113" s="3" t="s">
        <v>7</v>
      </c>
      <c r="F113" s="3" t="s">
        <v>74</v>
      </c>
    </row>
    <row r="114" spans="1:6" x14ac:dyDescent="0.3">
      <c r="A114" s="3" t="s">
        <v>67</v>
      </c>
      <c r="B114" s="3">
        <v>98000</v>
      </c>
      <c r="C114" s="3" t="s">
        <v>7</v>
      </c>
      <c r="D114" s="3">
        <v>3</v>
      </c>
      <c r="E114" s="3" t="s">
        <v>7</v>
      </c>
      <c r="F114" s="3" t="s">
        <v>74</v>
      </c>
    </row>
    <row r="115" spans="1:6" x14ac:dyDescent="0.3">
      <c r="A115" s="3" t="s">
        <v>68</v>
      </c>
      <c r="F115" s="3" t="s">
        <v>74</v>
      </c>
    </row>
    <row r="116" spans="1:6" x14ac:dyDescent="0.3">
      <c r="A116" s="3" t="s">
        <v>17</v>
      </c>
      <c r="B116" s="5">
        <v>28000</v>
      </c>
      <c r="C116" s="3" t="s">
        <v>7</v>
      </c>
      <c r="D116" s="3">
        <v>2</v>
      </c>
      <c r="E116" s="3" t="s">
        <v>7</v>
      </c>
      <c r="F116" s="3" t="s">
        <v>74</v>
      </c>
    </row>
    <row r="117" spans="1:6" x14ac:dyDescent="0.3">
      <c r="A117" s="3" t="s">
        <v>18</v>
      </c>
      <c r="B117" s="5">
        <v>5000</v>
      </c>
      <c r="C117" s="3" t="s">
        <v>7</v>
      </c>
      <c r="E117" s="3" t="s">
        <v>7</v>
      </c>
      <c r="F117" s="3" t="s">
        <v>74</v>
      </c>
    </row>
    <row r="118" spans="1:6" x14ac:dyDescent="0.3">
      <c r="A118" s="3" t="s">
        <v>19</v>
      </c>
      <c r="B118" s="5">
        <v>5000</v>
      </c>
      <c r="C118" s="3" t="s">
        <v>7</v>
      </c>
      <c r="E118" s="3" t="s">
        <v>7</v>
      </c>
      <c r="F118" s="3" t="s">
        <v>74</v>
      </c>
    </row>
    <row r="119" spans="1:6" x14ac:dyDescent="0.3">
      <c r="A119" s="3" t="s">
        <v>20</v>
      </c>
      <c r="B119" s="5">
        <v>5000</v>
      </c>
      <c r="C119" s="3" t="s">
        <v>7</v>
      </c>
      <c r="E119" s="3" t="s">
        <v>7</v>
      </c>
      <c r="F119" s="3" t="s">
        <v>74</v>
      </c>
    </row>
    <row r="120" spans="1:6" x14ac:dyDescent="0.3">
      <c r="A120" s="3" t="s">
        <v>21</v>
      </c>
      <c r="F120" s="3" t="s">
        <v>74</v>
      </c>
    </row>
    <row r="121" spans="1:6" x14ac:dyDescent="0.3">
      <c r="A121" s="3" t="s">
        <v>22</v>
      </c>
      <c r="F121" s="3" t="s">
        <v>74</v>
      </c>
    </row>
    <row r="122" spans="1:6" x14ac:dyDescent="0.3">
      <c r="A122" s="3" t="s">
        <v>43</v>
      </c>
      <c r="B122" s="3">
        <v>300</v>
      </c>
      <c r="C122" s="3" t="s">
        <v>53</v>
      </c>
      <c r="F122" s="3" t="s">
        <v>74</v>
      </c>
    </row>
    <row r="123" spans="1:6" x14ac:dyDescent="0.3">
      <c r="A123" s="3" t="s">
        <v>23</v>
      </c>
      <c r="B123" s="5">
        <v>23000</v>
      </c>
      <c r="C123" s="3" t="s">
        <v>7</v>
      </c>
      <c r="F123" s="3" t="s">
        <v>74</v>
      </c>
    </row>
    <row r="124" spans="1:6" x14ac:dyDescent="0.3">
      <c r="A124" s="3" t="s">
        <v>24</v>
      </c>
      <c r="B124" s="5">
        <v>50000</v>
      </c>
      <c r="C124" s="3" t="s">
        <v>7</v>
      </c>
      <c r="D124" s="3">
        <v>3</v>
      </c>
      <c r="E124" s="3" t="s">
        <v>7</v>
      </c>
      <c r="F124" s="3" t="s">
        <v>74</v>
      </c>
    </row>
    <row r="125" spans="1:6" x14ac:dyDescent="0.3">
      <c r="A125" s="3" t="s">
        <v>25</v>
      </c>
      <c r="B125" s="5">
        <v>70000</v>
      </c>
      <c r="C125" s="3" t="s">
        <v>7</v>
      </c>
      <c r="F125" s="3" t="s">
        <v>74</v>
      </c>
    </row>
    <row r="126" spans="1:6" x14ac:dyDescent="0.3">
      <c r="A126" s="3" t="s">
        <v>26</v>
      </c>
      <c r="F126" s="3" t="s">
        <v>74</v>
      </c>
    </row>
    <row r="127" spans="1:6" x14ac:dyDescent="0.3">
      <c r="A127" s="3" t="s">
        <v>27</v>
      </c>
      <c r="F127" s="3" t="s">
        <v>74</v>
      </c>
    </row>
    <row r="128" spans="1:6" x14ac:dyDescent="0.3">
      <c r="A128" s="3" t="s">
        <v>28</v>
      </c>
      <c r="B128" s="5">
        <v>45000</v>
      </c>
      <c r="C128" s="3" t="s">
        <v>7</v>
      </c>
      <c r="D128" s="3">
        <v>7</v>
      </c>
      <c r="E128" s="3" t="s">
        <v>7</v>
      </c>
      <c r="F128" s="3" t="s">
        <v>74</v>
      </c>
    </row>
    <row r="129" spans="1:6" x14ac:dyDescent="0.3">
      <c r="A129" s="3" t="s">
        <v>29</v>
      </c>
      <c r="B129" s="5">
        <v>45000</v>
      </c>
      <c r="C129" s="3" t="s">
        <v>7</v>
      </c>
      <c r="D129" s="3">
        <v>7</v>
      </c>
      <c r="E129" s="3" t="s">
        <v>7</v>
      </c>
      <c r="F129" s="3" t="s">
        <v>74</v>
      </c>
    </row>
    <row r="130" spans="1:6" x14ac:dyDescent="0.3">
      <c r="A130" s="3" t="s">
        <v>30</v>
      </c>
      <c r="B130" s="5">
        <v>60000</v>
      </c>
      <c r="C130" s="3" t="s">
        <v>7</v>
      </c>
      <c r="D130" s="3">
        <v>7</v>
      </c>
      <c r="E130" s="3" t="s">
        <v>7</v>
      </c>
      <c r="F130" s="3" t="s">
        <v>74</v>
      </c>
    </row>
    <row r="131" spans="1:6" x14ac:dyDescent="0.3">
      <c r="A131" s="3" t="s">
        <v>31</v>
      </c>
      <c r="B131" s="5">
        <v>120000</v>
      </c>
      <c r="C131" s="3" t="s">
        <v>7</v>
      </c>
      <c r="D131" s="3">
        <v>7</v>
      </c>
      <c r="E131" s="3" t="s">
        <v>7</v>
      </c>
      <c r="F131" s="3" t="s">
        <v>74</v>
      </c>
    </row>
    <row r="132" spans="1:6" x14ac:dyDescent="0.3">
      <c r="A132" s="3" t="s">
        <v>32</v>
      </c>
      <c r="F132" s="3" t="s">
        <v>74</v>
      </c>
    </row>
    <row r="133" spans="1:6" x14ac:dyDescent="0.3">
      <c r="A133" s="3" t="s">
        <v>41</v>
      </c>
      <c r="F133" s="3" t="s">
        <v>74</v>
      </c>
    </row>
    <row r="134" spans="1:6" x14ac:dyDescent="0.3">
      <c r="A134" s="3" t="s">
        <v>42</v>
      </c>
      <c r="B134" s="5">
        <v>35000</v>
      </c>
      <c r="C134" s="3" t="s">
        <v>7</v>
      </c>
      <c r="D134" s="3">
        <v>5</v>
      </c>
      <c r="E134" s="3" t="s">
        <v>7</v>
      </c>
      <c r="F134" s="3" t="s">
        <v>74</v>
      </c>
    </row>
    <row r="135" spans="1:6" x14ac:dyDescent="0.3">
      <c r="A135" s="3" t="s">
        <v>46</v>
      </c>
      <c r="B135" s="5">
        <v>30000</v>
      </c>
      <c r="C135" s="3" t="s">
        <v>7</v>
      </c>
      <c r="D135" s="3">
        <v>2</v>
      </c>
      <c r="E135" s="3" t="s">
        <v>7</v>
      </c>
      <c r="F135" s="3" t="s">
        <v>74</v>
      </c>
    </row>
    <row r="136" spans="1:6" x14ac:dyDescent="0.3">
      <c r="A136" s="3" t="s">
        <v>47</v>
      </c>
      <c r="B136" s="5">
        <v>25000</v>
      </c>
      <c r="C136" s="3" t="s">
        <v>7</v>
      </c>
      <c r="D136" s="3">
        <v>2</v>
      </c>
      <c r="E136" s="3" t="s">
        <v>7</v>
      </c>
      <c r="F136" s="3" t="s">
        <v>74</v>
      </c>
    </row>
    <row r="137" spans="1:6" x14ac:dyDescent="0.3">
      <c r="A137" s="3" t="s">
        <v>51</v>
      </c>
      <c r="B137" s="5">
        <v>40000</v>
      </c>
      <c r="C137" s="3" t="s">
        <v>7</v>
      </c>
      <c r="D137" s="3">
        <v>2</v>
      </c>
      <c r="E137" s="3" t="s">
        <v>7</v>
      </c>
      <c r="F137" s="3" t="s">
        <v>74</v>
      </c>
    </row>
    <row r="138" spans="1:6" x14ac:dyDescent="0.3">
      <c r="A138" s="3" t="s">
        <v>48</v>
      </c>
      <c r="B138" s="5">
        <v>30000</v>
      </c>
      <c r="C138" s="3" t="s">
        <v>7</v>
      </c>
      <c r="D138" s="3">
        <v>2</v>
      </c>
      <c r="E138" s="3" t="s">
        <v>7</v>
      </c>
      <c r="F138" s="3" t="s">
        <v>74</v>
      </c>
    </row>
    <row r="139" spans="1:6" x14ac:dyDescent="0.3">
      <c r="A139" s="3" t="s">
        <v>49</v>
      </c>
      <c r="B139" s="5">
        <v>60000</v>
      </c>
      <c r="C139" s="3" t="s">
        <v>7</v>
      </c>
      <c r="D139" s="3">
        <v>2</v>
      </c>
      <c r="E139" s="3" t="s">
        <v>7</v>
      </c>
      <c r="F139" s="3" t="s">
        <v>74</v>
      </c>
    </row>
    <row r="140" spans="1:6" x14ac:dyDescent="0.3">
      <c r="A140" s="3" t="s">
        <v>50</v>
      </c>
      <c r="B140" s="5">
        <v>20000</v>
      </c>
      <c r="C140" s="3" t="s">
        <v>7</v>
      </c>
      <c r="D140" s="3">
        <v>2</v>
      </c>
      <c r="E140" s="3" t="s">
        <v>7</v>
      </c>
      <c r="F140" s="3" t="s">
        <v>74</v>
      </c>
    </row>
    <row r="141" spans="1:6" x14ac:dyDescent="0.3">
      <c r="A141" s="3" t="s">
        <v>69</v>
      </c>
      <c r="B141" s="5">
        <v>18000</v>
      </c>
      <c r="C141" s="3" t="s">
        <v>7</v>
      </c>
      <c r="D141" s="3">
        <v>2</v>
      </c>
      <c r="E141" s="3" t="s">
        <v>7</v>
      </c>
      <c r="F141" s="3" t="s">
        <v>74</v>
      </c>
    </row>
    <row r="142" spans="1:6" x14ac:dyDescent="0.3">
      <c r="A142" s="3" t="s">
        <v>70</v>
      </c>
      <c r="B142" s="5">
        <v>28000</v>
      </c>
      <c r="C142" s="3" t="s">
        <v>7</v>
      </c>
      <c r="D142" s="3">
        <v>2</v>
      </c>
      <c r="E142" s="3" t="s">
        <v>7</v>
      </c>
      <c r="F142" s="3" t="s">
        <v>74</v>
      </c>
    </row>
    <row r="143" spans="1:6" x14ac:dyDescent="0.3">
      <c r="A143" s="3" t="s">
        <v>71</v>
      </c>
      <c r="B143" s="5">
        <v>45000</v>
      </c>
      <c r="C143" s="3" t="s">
        <v>7</v>
      </c>
      <c r="D143" s="3">
        <v>2</v>
      </c>
      <c r="E143" s="3" t="s">
        <v>7</v>
      </c>
      <c r="F143" s="3" t="s">
        <v>74</v>
      </c>
    </row>
    <row r="144" spans="1:6" x14ac:dyDescent="0.3">
      <c r="A144" s="3" t="s">
        <v>72</v>
      </c>
      <c r="B144" s="5">
        <v>60000</v>
      </c>
      <c r="C144" s="3" t="s">
        <v>7</v>
      </c>
      <c r="D144" s="3">
        <v>2</v>
      </c>
      <c r="E144" s="3" t="s">
        <v>7</v>
      </c>
      <c r="F144" s="3" t="s">
        <v>74</v>
      </c>
    </row>
    <row r="145" spans="1:6" x14ac:dyDescent="0.3">
      <c r="A145" s="3" t="s">
        <v>73</v>
      </c>
      <c r="B145" s="5">
        <v>85000</v>
      </c>
      <c r="C145" s="3" t="s">
        <v>7</v>
      </c>
      <c r="D145" s="3">
        <v>2</v>
      </c>
      <c r="E145" s="3" t="s">
        <v>7</v>
      </c>
      <c r="F145" s="3" t="s">
        <v>74</v>
      </c>
    </row>
    <row r="146" spans="1:6" x14ac:dyDescent="0.3">
      <c r="A146" s="3" t="s">
        <v>4</v>
      </c>
      <c r="F146" s="3" t="s">
        <v>75</v>
      </c>
    </row>
    <row r="147" spans="1:6" x14ac:dyDescent="0.3">
      <c r="A147" s="3" t="s">
        <v>5</v>
      </c>
      <c r="B147" s="5">
        <v>4000</v>
      </c>
      <c r="C147" s="3" t="s">
        <v>7</v>
      </c>
      <c r="D147" s="3">
        <v>1</v>
      </c>
      <c r="E147" s="3" t="s">
        <v>7</v>
      </c>
      <c r="F147" s="3" t="s">
        <v>75</v>
      </c>
    </row>
    <row r="148" spans="1:6" x14ac:dyDescent="0.3">
      <c r="A148" s="3" t="s">
        <v>6</v>
      </c>
      <c r="B148" s="5">
        <v>5000</v>
      </c>
      <c r="C148" s="3" t="s">
        <v>7</v>
      </c>
      <c r="D148" s="3">
        <v>1</v>
      </c>
      <c r="E148" s="3" t="s">
        <v>7</v>
      </c>
      <c r="F148" s="3" t="s">
        <v>75</v>
      </c>
    </row>
    <row r="149" spans="1:6" x14ac:dyDescent="0.3">
      <c r="A149" s="3" t="s">
        <v>44</v>
      </c>
      <c r="F149" s="3" t="s">
        <v>75</v>
      </c>
    </row>
    <row r="150" spans="1:6" x14ac:dyDescent="0.3">
      <c r="A150" s="3" t="s">
        <v>57</v>
      </c>
      <c r="F150" s="3" t="s">
        <v>75</v>
      </c>
    </row>
    <row r="151" spans="1:6" x14ac:dyDescent="0.3">
      <c r="A151" s="3" t="s">
        <v>58</v>
      </c>
      <c r="F151" s="3" t="s">
        <v>75</v>
      </c>
    </row>
    <row r="152" spans="1:6" x14ac:dyDescent="0.3">
      <c r="A152" s="3" t="s">
        <v>8</v>
      </c>
      <c r="F152" s="3" t="s">
        <v>75</v>
      </c>
    </row>
    <row r="153" spans="1:6" x14ac:dyDescent="0.3">
      <c r="A153" s="3" t="s">
        <v>9</v>
      </c>
      <c r="F153" s="3" t="s">
        <v>75</v>
      </c>
    </row>
    <row r="154" spans="1:6" x14ac:dyDescent="0.3">
      <c r="A154" s="3" t="s">
        <v>10</v>
      </c>
      <c r="F154" s="3" t="s">
        <v>75</v>
      </c>
    </row>
    <row r="155" spans="1:6" x14ac:dyDescent="0.3">
      <c r="A155" s="3" t="s">
        <v>11</v>
      </c>
      <c r="F155" s="3" t="s">
        <v>75</v>
      </c>
    </row>
    <row r="156" spans="1:6" x14ac:dyDescent="0.3">
      <c r="A156" s="3" t="s">
        <v>12</v>
      </c>
      <c r="F156" s="3" t="s">
        <v>75</v>
      </c>
    </row>
    <row r="157" spans="1:6" x14ac:dyDescent="0.3">
      <c r="A157" s="3" t="s">
        <v>13</v>
      </c>
      <c r="F157" s="3" t="s">
        <v>75</v>
      </c>
    </row>
    <row r="158" spans="1:6" x14ac:dyDescent="0.3">
      <c r="A158" s="3" t="s">
        <v>14</v>
      </c>
      <c r="F158" s="3" t="s">
        <v>75</v>
      </c>
    </row>
    <row r="159" spans="1:6" x14ac:dyDescent="0.3">
      <c r="A159" s="3" t="s">
        <v>15</v>
      </c>
      <c r="B159" s="5">
        <v>10000</v>
      </c>
      <c r="C159" s="3" t="s">
        <v>7</v>
      </c>
      <c r="F159" s="3" t="s">
        <v>75</v>
      </c>
    </row>
    <row r="160" spans="1:6" x14ac:dyDescent="0.3">
      <c r="A160" s="4" t="s">
        <v>55</v>
      </c>
      <c r="F160" s="3" t="s">
        <v>75</v>
      </c>
    </row>
    <row r="161" spans="1:6" x14ac:dyDescent="0.3">
      <c r="A161" s="4" t="s">
        <v>56</v>
      </c>
      <c r="F161" s="3" t="s">
        <v>75</v>
      </c>
    </row>
    <row r="162" spans="1:6" x14ac:dyDescent="0.3">
      <c r="A162" s="3" t="s">
        <v>59</v>
      </c>
      <c r="F162" s="3" t="s">
        <v>75</v>
      </c>
    </row>
    <row r="163" spans="1:6" x14ac:dyDescent="0.3">
      <c r="A163" s="3" t="s">
        <v>60</v>
      </c>
      <c r="F163" s="3" t="s">
        <v>75</v>
      </c>
    </row>
    <row r="164" spans="1:6" x14ac:dyDescent="0.3">
      <c r="A164" s="3" t="s">
        <v>61</v>
      </c>
      <c r="F164" s="3" t="s">
        <v>75</v>
      </c>
    </row>
    <row r="165" spans="1:6" x14ac:dyDescent="0.3">
      <c r="A165" s="3" t="s">
        <v>62</v>
      </c>
      <c r="F165" s="3" t="s">
        <v>75</v>
      </c>
    </row>
    <row r="166" spans="1:6" x14ac:dyDescent="0.3">
      <c r="A166" s="3" t="s">
        <v>63</v>
      </c>
      <c r="F166" s="3" t="s">
        <v>75</v>
      </c>
    </row>
    <row r="167" spans="1:6" x14ac:dyDescent="0.3">
      <c r="A167" s="3" t="s">
        <v>64</v>
      </c>
      <c r="F167" s="3" t="s">
        <v>75</v>
      </c>
    </row>
    <row r="168" spans="1:6" x14ac:dyDescent="0.3">
      <c r="A168" s="3" t="s">
        <v>65</v>
      </c>
      <c r="F168" s="3" t="s">
        <v>75</v>
      </c>
    </row>
    <row r="169" spans="1:6" x14ac:dyDescent="0.3">
      <c r="A169" s="3" t="s">
        <v>66</v>
      </c>
      <c r="F169" s="3" t="s">
        <v>75</v>
      </c>
    </row>
    <row r="170" spans="1:6" x14ac:dyDescent="0.3">
      <c r="A170" s="3" t="s">
        <v>67</v>
      </c>
      <c r="F170" s="3" t="s">
        <v>75</v>
      </c>
    </row>
    <row r="171" spans="1:6" x14ac:dyDescent="0.3">
      <c r="A171" s="3" t="s">
        <v>68</v>
      </c>
      <c r="F171" s="3" t="s">
        <v>75</v>
      </c>
    </row>
    <row r="172" spans="1:6" x14ac:dyDescent="0.3">
      <c r="A172" s="3" t="s">
        <v>17</v>
      </c>
      <c r="F172" s="3" t="s">
        <v>75</v>
      </c>
    </row>
    <row r="173" spans="1:6" x14ac:dyDescent="0.3">
      <c r="A173" s="3" t="s">
        <v>18</v>
      </c>
      <c r="F173" s="3" t="s">
        <v>75</v>
      </c>
    </row>
    <row r="174" spans="1:6" x14ac:dyDescent="0.3">
      <c r="A174" s="3" t="s">
        <v>19</v>
      </c>
      <c r="F174" s="3" t="s">
        <v>75</v>
      </c>
    </row>
    <row r="175" spans="1:6" x14ac:dyDescent="0.3">
      <c r="A175" s="3" t="s">
        <v>20</v>
      </c>
      <c r="F175" s="3" t="s">
        <v>75</v>
      </c>
    </row>
    <row r="176" spans="1:6" x14ac:dyDescent="0.3">
      <c r="A176" s="3" t="s">
        <v>21</v>
      </c>
      <c r="F176" s="3" t="s">
        <v>75</v>
      </c>
    </row>
    <row r="177" spans="1:6" x14ac:dyDescent="0.3">
      <c r="A177" s="3" t="s">
        <v>22</v>
      </c>
      <c r="F177" s="3" t="s">
        <v>75</v>
      </c>
    </row>
    <row r="178" spans="1:6" x14ac:dyDescent="0.3">
      <c r="A178" s="3" t="s">
        <v>43</v>
      </c>
      <c r="B178" s="5">
        <v>2500</v>
      </c>
      <c r="C178" s="3" t="s">
        <v>7</v>
      </c>
      <c r="D178" s="3">
        <v>1</v>
      </c>
      <c r="E178" s="3" t="s">
        <v>7</v>
      </c>
      <c r="F178" s="3" t="s">
        <v>75</v>
      </c>
    </row>
    <row r="179" spans="1:6" x14ac:dyDescent="0.3">
      <c r="A179" s="3" t="s">
        <v>23</v>
      </c>
      <c r="F179" s="3" t="s">
        <v>75</v>
      </c>
    </row>
    <row r="180" spans="1:6" x14ac:dyDescent="0.3">
      <c r="A180" s="3" t="s">
        <v>24</v>
      </c>
      <c r="F180" s="3" t="s">
        <v>75</v>
      </c>
    </row>
    <row r="181" spans="1:6" x14ac:dyDescent="0.3">
      <c r="A181" s="3" t="s">
        <v>25</v>
      </c>
      <c r="F181" s="3" t="s">
        <v>75</v>
      </c>
    </row>
    <row r="182" spans="1:6" x14ac:dyDescent="0.3">
      <c r="A182" s="3" t="s">
        <v>26</v>
      </c>
      <c r="F182" s="3" t="s">
        <v>75</v>
      </c>
    </row>
    <row r="183" spans="1:6" x14ac:dyDescent="0.3">
      <c r="A183" s="3" t="s">
        <v>27</v>
      </c>
      <c r="F183" s="3" t="s">
        <v>75</v>
      </c>
    </row>
    <row r="184" spans="1:6" x14ac:dyDescent="0.3">
      <c r="A184" s="3" t="s">
        <v>28</v>
      </c>
      <c r="F184" s="3" t="s">
        <v>75</v>
      </c>
    </row>
    <row r="185" spans="1:6" x14ac:dyDescent="0.3">
      <c r="A185" s="3" t="s">
        <v>29</v>
      </c>
      <c r="B185" s="5">
        <v>8000</v>
      </c>
      <c r="C185" s="3" t="s">
        <v>7</v>
      </c>
      <c r="D185" s="3">
        <v>2</v>
      </c>
      <c r="E185" s="3" t="s">
        <v>7</v>
      </c>
      <c r="F185" s="3" t="s">
        <v>75</v>
      </c>
    </row>
    <row r="186" spans="1:6" x14ac:dyDescent="0.3">
      <c r="A186" s="3" t="s">
        <v>30</v>
      </c>
      <c r="F186" s="3" t="s">
        <v>75</v>
      </c>
    </row>
    <row r="187" spans="1:6" x14ac:dyDescent="0.3">
      <c r="A187" s="3" t="s">
        <v>31</v>
      </c>
      <c r="F187" s="3" t="s">
        <v>75</v>
      </c>
    </row>
    <row r="188" spans="1:6" x14ac:dyDescent="0.3">
      <c r="A188" s="3" t="s">
        <v>32</v>
      </c>
      <c r="B188" s="5">
        <v>10000</v>
      </c>
      <c r="C188" s="3" t="s">
        <v>7</v>
      </c>
      <c r="D188" s="3">
        <v>10</v>
      </c>
      <c r="E188" s="3" t="s">
        <v>7</v>
      </c>
      <c r="F188" s="3" t="s">
        <v>75</v>
      </c>
    </row>
    <row r="189" spans="1:6" x14ac:dyDescent="0.3">
      <c r="A189" s="3" t="s">
        <v>41</v>
      </c>
      <c r="F189" s="3" t="s">
        <v>75</v>
      </c>
    </row>
    <row r="190" spans="1:6" x14ac:dyDescent="0.3">
      <c r="A190" s="3" t="s">
        <v>42</v>
      </c>
      <c r="F190" s="3" t="s">
        <v>75</v>
      </c>
    </row>
    <row r="191" spans="1:6" x14ac:dyDescent="0.3">
      <c r="A191" s="3" t="s">
        <v>46</v>
      </c>
      <c r="F191" s="3" t="s">
        <v>75</v>
      </c>
    </row>
    <row r="192" spans="1:6" x14ac:dyDescent="0.3">
      <c r="A192" s="3" t="s">
        <v>47</v>
      </c>
      <c r="F192" s="3" t="s">
        <v>75</v>
      </c>
    </row>
    <row r="193" spans="1:6" x14ac:dyDescent="0.3">
      <c r="A193" s="3" t="s">
        <v>51</v>
      </c>
      <c r="F193" s="3" t="s">
        <v>75</v>
      </c>
    </row>
    <row r="194" spans="1:6" x14ac:dyDescent="0.3">
      <c r="A194" s="3" t="s">
        <v>48</v>
      </c>
      <c r="F194" s="3" t="s">
        <v>75</v>
      </c>
    </row>
    <row r="195" spans="1:6" x14ac:dyDescent="0.3">
      <c r="A195" s="3" t="s">
        <v>49</v>
      </c>
      <c r="F195" s="3" t="s">
        <v>75</v>
      </c>
    </row>
    <row r="196" spans="1:6" x14ac:dyDescent="0.3">
      <c r="A196" s="3" t="s">
        <v>50</v>
      </c>
      <c r="F196" s="3" t="s">
        <v>75</v>
      </c>
    </row>
    <row r="197" spans="1:6" x14ac:dyDescent="0.3">
      <c r="A197" s="3" t="s">
        <v>69</v>
      </c>
      <c r="F197" s="3" t="s">
        <v>75</v>
      </c>
    </row>
    <row r="198" spans="1:6" x14ac:dyDescent="0.3">
      <c r="A198" s="3" t="s">
        <v>70</v>
      </c>
      <c r="F198" s="3" t="s">
        <v>75</v>
      </c>
    </row>
    <row r="199" spans="1:6" x14ac:dyDescent="0.3">
      <c r="A199" s="3" t="s">
        <v>71</v>
      </c>
      <c r="F199" s="3" t="s">
        <v>75</v>
      </c>
    </row>
    <row r="200" spans="1:6" x14ac:dyDescent="0.3">
      <c r="A200" s="3" t="s">
        <v>72</v>
      </c>
      <c r="F200" s="3" t="s">
        <v>75</v>
      </c>
    </row>
    <row r="201" spans="1:6" x14ac:dyDescent="0.3">
      <c r="A201" s="3" t="s">
        <v>73</v>
      </c>
      <c r="F201" s="3" t="s">
        <v>75</v>
      </c>
    </row>
    <row r="202" spans="1:6" x14ac:dyDescent="0.3">
      <c r="A202" s="3" t="s">
        <v>4</v>
      </c>
      <c r="F202" s="3" t="s">
        <v>76</v>
      </c>
    </row>
    <row r="203" spans="1:6" x14ac:dyDescent="0.3">
      <c r="A203" s="3" t="s">
        <v>5</v>
      </c>
      <c r="B203" s="5">
        <v>3000</v>
      </c>
      <c r="C203" s="3" t="s">
        <v>7</v>
      </c>
      <c r="D203" s="3">
        <v>1</v>
      </c>
      <c r="E203" s="3" t="s">
        <v>7</v>
      </c>
      <c r="F203" s="3" t="s">
        <v>76</v>
      </c>
    </row>
    <row r="204" spans="1:6" x14ac:dyDescent="0.3">
      <c r="A204" s="3" t="s">
        <v>6</v>
      </c>
      <c r="F204" s="3" t="s">
        <v>76</v>
      </c>
    </row>
    <row r="205" spans="1:6" x14ac:dyDescent="0.3">
      <c r="A205" s="3" t="s">
        <v>44</v>
      </c>
      <c r="F205" s="3" t="s">
        <v>76</v>
      </c>
    </row>
    <row r="206" spans="1:6" x14ac:dyDescent="0.3">
      <c r="A206" s="3" t="s">
        <v>57</v>
      </c>
      <c r="F206" s="3" t="s">
        <v>76</v>
      </c>
    </row>
    <row r="207" spans="1:6" x14ac:dyDescent="0.3">
      <c r="A207" s="3" t="s">
        <v>58</v>
      </c>
      <c r="F207" s="3" t="s">
        <v>76</v>
      </c>
    </row>
    <row r="208" spans="1:6" x14ac:dyDescent="0.3">
      <c r="A208" s="3" t="s">
        <v>8</v>
      </c>
      <c r="F208" s="3" t="s">
        <v>76</v>
      </c>
    </row>
    <row r="209" spans="1:6" x14ac:dyDescent="0.3">
      <c r="A209" s="3" t="s">
        <v>9</v>
      </c>
      <c r="F209" s="3" t="s">
        <v>76</v>
      </c>
    </row>
    <row r="210" spans="1:6" x14ac:dyDescent="0.3">
      <c r="A210" s="3" t="s">
        <v>10</v>
      </c>
      <c r="F210" s="3" t="s">
        <v>76</v>
      </c>
    </row>
    <row r="211" spans="1:6" x14ac:dyDescent="0.3">
      <c r="A211" s="3" t="s">
        <v>11</v>
      </c>
      <c r="F211" s="3" t="s">
        <v>76</v>
      </c>
    </row>
    <row r="212" spans="1:6" x14ac:dyDescent="0.3">
      <c r="A212" s="3" t="s">
        <v>12</v>
      </c>
      <c r="F212" s="3" t="s">
        <v>76</v>
      </c>
    </row>
    <row r="213" spans="1:6" x14ac:dyDescent="0.3">
      <c r="A213" s="3" t="s">
        <v>13</v>
      </c>
      <c r="F213" s="3" t="s">
        <v>76</v>
      </c>
    </row>
    <row r="214" spans="1:6" x14ac:dyDescent="0.3">
      <c r="A214" s="3" t="s">
        <v>14</v>
      </c>
      <c r="F214" s="3" t="s">
        <v>76</v>
      </c>
    </row>
    <row r="215" spans="1:6" x14ac:dyDescent="0.3">
      <c r="A215" s="3" t="s">
        <v>15</v>
      </c>
      <c r="F215" s="3" t="s">
        <v>76</v>
      </c>
    </row>
    <row r="216" spans="1:6" x14ac:dyDescent="0.3">
      <c r="A216" s="4" t="s">
        <v>55</v>
      </c>
      <c r="B216" s="5">
        <v>10000</v>
      </c>
      <c r="C216" s="3" t="s">
        <v>7</v>
      </c>
      <c r="D216" s="3">
        <v>1</v>
      </c>
      <c r="E216" s="3" t="s">
        <v>7</v>
      </c>
      <c r="F216" s="3" t="s">
        <v>76</v>
      </c>
    </row>
    <row r="217" spans="1:6" x14ac:dyDescent="0.3">
      <c r="A217" s="4" t="s">
        <v>56</v>
      </c>
      <c r="F217" s="3" t="s">
        <v>76</v>
      </c>
    </row>
    <row r="218" spans="1:6" x14ac:dyDescent="0.3">
      <c r="A218" s="3" t="s">
        <v>59</v>
      </c>
      <c r="B218" s="5">
        <v>5000</v>
      </c>
      <c r="C218" s="3" t="s">
        <v>7</v>
      </c>
      <c r="D218" s="3">
        <v>1</v>
      </c>
      <c r="E218" s="3" t="s">
        <v>7</v>
      </c>
      <c r="F218" s="3" t="s">
        <v>76</v>
      </c>
    </row>
    <row r="219" spans="1:6" x14ac:dyDescent="0.3">
      <c r="A219" s="3" t="s">
        <v>60</v>
      </c>
      <c r="F219" s="3" t="s">
        <v>76</v>
      </c>
    </row>
    <row r="220" spans="1:6" x14ac:dyDescent="0.3">
      <c r="A220" s="3" t="s">
        <v>61</v>
      </c>
      <c r="F220" s="3" t="s">
        <v>76</v>
      </c>
    </row>
    <row r="221" spans="1:6" x14ac:dyDescent="0.3">
      <c r="A221" s="3" t="s">
        <v>62</v>
      </c>
      <c r="F221" s="3" t="s">
        <v>76</v>
      </c>
    </row>
    <row r="222" spans="1:6" x14ac:dyDescent="0.3">
      <c r="A222" s="3" t="s">
        <v>63</v>
      </c>
      <c r="F222" s="3" t="s">
        <v>76</v>
      </c>
    </row>
    <row r="223" spans="1:6" x14ac:dyDescent="0.3">
      <c r="A223" s="3" t="s">
        <v>64</v>
      </c>
      <c r="F223" s="3" t="s">
        <v>76</v>
      </c>
    </row>
    <row r="224" spans="1:6" x14ac:dyDescent="0.3">
      <c r="A224" s="3" t="s">
        <v>65</v>
      </c>
      <c r="F224" s="3" t="s">
        <v>76</v>
      </c>
    </row>
    <row r="225" spans="1:6" x14ac:dyDescent="0.3">
      <c r="A225" s="3" t="s">
        <v>66</v>
      </c>
      <c r="F225" s="3" t="s">
        <v>76</v>
      </c>
    </row>
    <row r="226" spans="1:6" x14ac:dyDescent="0.3">
      <c r="A226" s="3" t="s">
        <v>67</v>
      </c>
      <c r="F226" s="3" t="s">
        <v>76</v>
      </c>
    </row>
    <row r="227" spans="1:6" x14ac:dyDescent="0.3">
      <c r="A227" s="3" t="s">
        <v>68</v>
      </c>
      <c r="F227" s="3" t="s">
        <v>76</v>
      </c>
    </row>
    <row r="228" spans="1:6" x14ac:dyDescent="0.3">
      <c r="A228" s="3" t="s">
        <v>17</v>
      </c>
      <c r="F228" s="3" t="s">
        <v>76</v>
      </c>
    </row>
    <row r="229" spans="1:6" x14ac:dyDescent="0.3">
      <c r="A229" s="3" t="s">
        <v>18</v>
      </c>
      <c r="B229" s="5">
        <v>3000</v>
      </c>
      <c r="C229" s="3" t="s">
        <v>7</v>
      </c>
      <c r="D229" s="3">
        <v>1</v>
      </c>
      <c r="E229" s="3" t="s">
        <v>7</v>
      </c>
      <c r="F229" s="3" t="s">
        <v>76</v>
      </c>
    </row>
    <row r="230" spans="1:6" x14ac:dyDescent="0.3">
      <c r="A230" s="3" t="s">
        <v>19</v>
      </c>
      <c r="B230" s="5">
        <v>3000</v>
      </c>
      <c r="C230" s="3" t="s">
        <v>7</v>
      </c>
      <c r="D230" s="3">
        <v>1</v>
      </c>
      <c r="E230" s="3" t="s">
        <v>7</v>
      </c>
      <c r="F230" s="3" t="s">
        <v>76</v>
      </c>
    </row>
    <row r="231" spans="1:6" x14ac:dyDescent="0.3">
      <c r="A231" s="3" t="s">
        <v>20</v>
      </c>
      <c r="B231" s="5">
        <v>3000</v>
      </c>
      <c r="C231" s="3" t="s">
        <v>7</v>
      </c>
      <c r="D231" s="3">
        <v>1</v>
      </c>
      <c r="E231" s="3" t="s">
        <v>7</v>
      </c>
      <c r="F231" s="3" t="s">
        <v>76</v>
      </c>
    </row>
    <row r="232" spans="1:6" x14ac:dyDescent="0.3">
      <c r="A232" s="3" t="s">
        <v>21</v>
      </c>
      <c r="B232" s="5">
        <v>10000</v>
      </c>
      <c r="C232" s="3" t="s">
        <v>7</v>
      </c>
      <c r="D232" s="3">
        <v>5</v>
      </c>
      <c r="E232" s="3" t="s">
        <v>7</v>
      </c>
      <c r="F232" s="3" t="s">
        <v>76</v>
      </c>
    </row>
    <row r="233" spans="1:6" x14ac:dyDescent="0.3">
      <c r="A233" s="3" t="s">
        <v>22</v>
      </c>
      <c r="F233" s="3" t="s">
        <v>76</v>
      </c>
    </row>
    <row r="234" spans="1:6" x14ac:dyDescent="0.3">
      <c r="A234" s="3" t="s">
        <v>43</v>
      </c>
      <c r="B234" s="5">
        <v>10000</v>
      </c>
      <c r="C234" s="3" t="s">
        <v>7</v>
      </c>
      <c r="D234" s="3">
        <v>3</v>
      </c>
      <c r="E234" s="3" t="s">
        <v>7</v>
      </c>
      <c r="F234" s="3" t="s">
        <v>76</v>
      </c>
    </row>
    <row r="235" spans="1:6" x14ac:dyDescent="0.3">
      <c r="A235" s="3" t="s">
        <v>23</v>
      </c>
      <c r="B235" s="5">
        <v>3000</v>
      </c>
      <c r="C235" s="3" t="s">
        <v>7</v>
      </c>
      <c r="D235" s="3">
        <v>1</v>
      </c>
      <c r="E235" s="3" t="s">
        <v>7</v>
      </c>
      <c r="F235" s="3" t="s">
        <v>76</v>
      </c>
    </row>
    <row r="236" spans="1:6" x14ac:dyDescent="0.3">
      <c r="A236" s="3" t="s">
        <v>24</v>
      </c>
      <c r="B236" s="5">
        <v>30000</v>
      </c>
      <c r="C236" s="3" t="s">
        <v>7</v>
      </c>
      <c r="D236" s="3">
        <v>3</v>
      </c>
      <c r="E236" s="3" t="s">
        <v>7</v>
      </c>
      <c r="F236" s="3" t="s">
        <v>76</v>
      </c>
    </row>
    <row r="237" spans="1:6" x14ac:dyDescent="0.3">
      <c r="A237" s="3" t="s">
        <v>25</v>
      </c>
      <c r="B237" s="5">
        <v>15000</v>
      </c>
      <c r="C237" s="3" t="s">
        <v>7</v>
      </c>
      <c r="D237" s="3">
        <v>3</v>
      </c>
      <c r="E237" s="3" t="s">
        <v>7</v>
      </c>
      <c r="F237" s="3" t="s">
        <v>76</v>
      </c>
    </row>
    <row r="238" spans="1:6" x14ac:dyDescent="0.3">
      <c r="A238" s="3" t="s">
        <v>26</v>
      </c>
      <c r="B238" s="5">
        <v>15000</v>
      </c>
      <c r="C238" s="3" t="s">
        <v>7</v>
      </c>
      <c r="D238" s="3">
        <v>3</v>
      </c>
      <c r="E238" s="3" t="s">
        <v>7</v>
      </c>
      <c r="F238" s="3" t="s">
        <v>76</v>
      </c>
    </row>
    <row r="239" spans="1:6" x14ac:dyDescent="0.3">
      <c r="A239" s="3" t="s">
        <v>27</v>
      </c>
      <c r="B239" s="5">
        <v>15000</v>
      </c>
      <c r="C239" s="3" t="s">
        <v>7</v>
      </c>
      <c r="D239" s="3">
        <v>3</v>
      </c>
      <c r="E239" s="3" t="s">
        <v>7</v>
      </c>
      <c r="F239" s="3" t="s">
        <v>76</v>
      </c>
    </row>
    <row r="240" spans="1:6" x14ac:dyDescent="0.3">
      <c r="A240" s="3" t="s">
        <v>28</v>
      </c>
      <c r="B240" s="5">
        <v>25000</v>
      </c>
      <c r="C240" s="3" t="s">
        <v>7</v>
      </c>
      <c r="D240" s="3">
        <v>3</v>
      </c>
      <c r="E240" s="3" t="s">
        <v>7</v>
      </c>
      <c r="F240" s="3" t="s">
        <v>76</v>
      </c>
    </row>
    <row r="241" spans="1:6" x14ac:dyDescent="0.3">
      <c r="A241" s="3" t="s">
        <v>29</v>
      </c>
      <c r="B241" s="5">
        <v>30000</v>
      </c>
      <c r="C241" s="3" t="s">
        <v>7</v>
      </c>
      <c r="D241" s="3">
        <v>3</v>
      </c>
      <c r="E241" s="3" t="s">
        <v>7</v>
      </c>
      <c r="F241" s="3" t="s">
        <v>76</v>
      </c>
    </row>
    <row r="242" spans="1:6" x14ac:dyDescent="0.3">
      <c r="A242" s="3" t="s">
        <v>30</v>
      </c>
      <c r="B242" s="5">
        <v>80000</v>
      </c>
      <c r="C242" s="3" t="s">
        <v>7</v>
      </c>
      <c r="D242" s="3">
        <v>3</v>
      </c>
      <c r="E242" s="3" t="s">
        <v>7</v>
      </c>
      <c r="F242" s="3" t="s">
        <v>76</v>
      </c>
    </row>
    <row r="243" spans="1:6" x14ac:dyDescent="0.3">
      <c r="A243" s="3" t="s">
        <v>31</v>
      </c>
      <c r="B243" s="5">
        <v>200000</v>
      </c>
      <c r="C243" s="3" t="s">
        <v>7</v>
      </c>
      <c r="D243" s="3">
        <v>3</v>
      </c>
      <c r="E243" s="3" t="s">
        <v>7</v>
      </c>
      <c r="F243" s="3" t="s">
        <v>76</v>
      </c>
    </row>
    <row r="244" spans="1:6" x14ac:dyDescent="0.3">
      <c r="A244" s="3" t="s">
        <v>32</v>
      </c>
      <c r="F244" s="3" t="s">
        <v>76</v>
      </c>
    </row>
    <row r="245" spans="1:6" x14ac:dyDescent="0.3">
      <c r="A245" s="3" t="s">
        <v>41</v>
      </c>
      <c r="F245" s="3" t="s">
        <v>76</v>
      </c>
    </row>
    <row r="246" spans="1:6" x14ac:dyDescent="0.3">
      <c r="A246" s="3" t="s">
        <v>42</v>
      </c>
      <c r="F246" s="3" t="s">
        <v>76</v>
      </c>
    </row>
    <row r="247" spans="1:6" x14ac:dyDescent="0.3">
      <c r="A247" s="3" t="s">
        <v>46</v>
      </c>
      <c r="B247" s="5">
        <v>30000</v>
      </c>
      <c r="C247" s="3" t="s">
        <v>7</v>
      </c>
      <c r="D247" s="3">
        <v>3</v>
      </c>
      <c r="E247" s="3" t="s">
        <v>7</v>
      </c>
      <c r="F247" s="3" t="s">
        <v>76</v>
      </c>
    </row>
    <row r="248" spans="1:6" x14ac:dyDescent="0.3">
      <c r="A248" s="3" t="s">
        <v>47</v>
      </c>
      <c r="B248" s="5">
        <v>30000</v>
      </c>
      <c r="C248" s="3" t="s">
        <v>7</v>
      </c>
      <c r="D248" s="3">
        <v>3</v>
      </c>
      <c r="E248" s="3" t="s">
        <v>7</v>
      </c>
      <c r="F248" s="3" t="s">
        <v>76</v>
      </c>
    </row>
    <row r="249" spans="1:6" x14ac:dyDescent="0.3">
      <c r="A249" s="3" t="s">
        <v>51</v>
      </c>
      <c r="B249" s="5">
        <v>30000</v>
      </c>
      <c r="C249" s="3" t="s">
        <v>7</v>
      </c>
      <c r="D249" s="3">
        <v>3</v>
      </c>
      <c r="E249" s="3" t="s">
        <v>7</v>
      </c>
      <c r="F249" s="3" t="s">
        <v>76</v>
      </c>
    </row>
    <row r="250" spans="1:6" x14ac:dyDescent="0.3">
      <c r="A250" s="3" t="s">
        <v>48</v>
      </c>
      <c r="B250" s="5">
        <v>30000</v>
      </c>
      <c r="C250" s="3" t="s">
        <v>7</v>
      </c>
      <c r="D250" s="3">
        <v>3</v>
      </c>
      <c r="E250" s="3" t="s">
        <v>7</v>
      </c>
      <c r="F250" s="3" t="s">
        <v>76</v>
      </c>
    </row>
    <row r="251" spans="1:6" x14ac:dyDescent="0.3">
      <c r="A251" s="3" t="s">
        <v>49</v>
      </c>
      <c r="B251" s="5">
        <v>30000</v>
      </c>
      <c r="C251" s="3" t="s">
        <v>7</v>
      </c>
      <c r="D251" s="3">
        <v>3</v>
      </c>
      <c r="E251" s="3" t="s">
        <v>7</v>
      </c>
      <c r="F251" s="3" t="s">
        <v>76</v>
      </c>
    </row>
    <row r="252" spans="1:6" x14ac:dyDescent="0.3">
      <c r="A252" s="3" t="s">
        <v>50</v>
      </c>
      <c r="B252" s="5">
        <v>30000</v>
      </c>
      <c r="C252" s="3" t="s">
        <v>7</v>
      </c>
      <c r="D252" s="3">
        <v>3</v>
      </c>
      <c r="E252" s="3" t="s">
        <v>7</v>
      </c>
      <c r="F252" s="3" t="s">
        <v>76</v>
      </c>
    </row>
    <row r="253" spans="1:6" x14ac:dyDescent="0.3">
      <c r="A253" s="3" t="s">
        <v>69</v>
      </c>
      <c r="F253" s="3" t="s">
        <v>76</v>
      </c>
    </row>
    <row r="254" spans="1:6" x14ac:dyDescent="0.3">
      <c r="A254" s="3" t="s">
        <v>70</v>
      </c>
      <c r="F254" s="3" t="s">
        <v>76</v>
      </c>
    </row>
    <row r="255" spans="1:6" x14ac:dyDescent="0.3">
      <c r="A255" s="3" t="s">
        <v>71</v>
      </c>
      <c r="F255" s="3" t="s">
        <v>76</v>
      </c>
    </row>
    <row r="256" spans="1:6" x14ac:dyDescent="0.3">
      <c r="A256" s="3" t="s">
        <v>72</v>
      </c>
      <c r="F256" s="3" t="s">
        <v>76</v>
      </c>
    </row>
    <row r="257" spans="1:6" x14ac:dyDescent="0.3">
      <c r="A257" s="3" t="s">
        <v>73</v>
      </c>
      <c r="F257" s="3" t="s">
        <v>76</v>
      </c>
    </row>
    <row r="258" spans="1:6" x14ac:dyDescent="0.3">
      <c r="A258" s="3" t="s">
        <v>77</v>
      </c>
      <c r="B258" s="5">
        <v>6000</v>
      </c>
      <c r="C258" s="3" t="s">
        <v>7</v>
      </c>
      <c r="D258" s="3">
        <v>3</v>
      </c>
      <c r="E258" s="3" t="s">
        <v>7</v>
      </c>
      <c r="F258" s="3" t="s">
        <v>76</v>
      </c>
    </row>
    <row r="259" spans="1:6" x14ac:dyDescent="0.3">
      <c r="A259" s="3" t="s">
        <v>78</v>
      </c>
      <c r="B259" s="5">
        <v>30000</v>
      </c>
      <c r="C259" s="3" t="s">
        <v>7</v>
      </c>
      <c r="D259" s="3">
        <v>3</v>
      </c>
      <c r="E259" s="3" t="s">
        <v>7</v>
      </c>
      <c r="F259" s="3" t="s">
        <v>76</v>
      </c>
    </row>
    <row r="260" spans="1:6" x14ac:dyDescent="0.3">
      <c r="A260" s="3" t="s">
        <v>79</v>
      </c>
      <c r="B260" s="5">
        <v>30000</v>
      </c>
      <c r="C260" s="3" t="s">
        <v>7</v>
      </c>
      <c r="D260" s="3">
        <v>5</v>
      </c>
      <c r="E260" s="3" t="s">
        <v>7</v>
      </c>
      <c r="F260" s="3" t="s">
        <v>76</v>
      </c>
    </row>
    <row r="261" spans="1:6" x14ac:dyDescent="0.3">
      <c r="A261" s="3" t="s">
        <v>80</v>
      </c>
      <c r="B261" s="5">
        <v>30000</v>
      </c>
      <c r="C261" s="3" t="s">
        <v>7</v>
      </c>
      <c r="D261" s="3">
        <v>3</v>
      </c>
      <c r="E261" s="3" t="s">
        <v>7</v>
      </c>
      <c r="F261" s="3" t="s">
        <v>76</v>
      </c>
    </row>
    <row r="262" spans="1:6" x14ac:dyDescent="0.3">
      <c r="A262" s="3" t="s">
        <v>81</v>
      </c>
      <c r="B262" s="5">
        <v>20000</v>
      </c>
      <c r="C262" s="3" t="s">
        <v>7</v>
      </c>
      <c r="D262" s="3">
        <v>5</v>
      </c>
      <c r="E262" s="3" t="s">
        <v>7</v>
      </c>
      <c r="F262" s="3" t="s">
        <v>76</v>
      </c>
    </row>
    <row r="263" spans="1:6" x14ac:dyDescent="0.3">
      <c r="A263" s="3" t="s">
        <v>82</v>
      </c>
      <c r="B263" s="5">
        <v>50000</v>
      </c>
      <c r="C263" s="3" t="s">
        <v>7</v>
      </c>
      <c r="D263" s="3">
        <v>7</v>
      </c>
      <c r="E263" s="3" t="s">
        <v>7</v>
      </c>
      <c r="F263" s="3" t="s">
        <v>76</v>
      </c>
    </row>
    <row r="264" spans="1:6" x14ac:dyDescent="0.3">
      <c r="A264" s="3" t="s">
        <v>83</v>
      </c>
      <c r="B264" s="5">
        <v>20000</v>
      </c>
      <c r="C264" s="3" t="s">
        <v>7</v>
      </c>
      <c r="D264" s="3">
        <v>3</v>
      </c>
      <c r="E264" s="3" t="s">
        <v>7</v>
      </c>
      <c r="F264" s="3" t="s">
        <v>76</v>
      </c>
    </row>
    <row r="265" spans="1:6" x14ac:dyDescent="0.3">
      <c r="A265" s="3" t="s">
        <v>84</v>
      </c>
      <c r="B265" s="5">
        <v>15000</v>
      </c>
      <c r="C265" s="3" t="s">
        <v>7</v>
      </c>
      <c r="D265" s="3">
        <v>3</v>
      </c>
      <c r="E265" s="3" t="s">
        <v>7</v>
      </c>
      <c r="F265" s="3" t="s">
        <v>76</v>
      </c>
    </row>
    <row r="266" spans="1:6" x14ac:dyDescent="0.3">
      <c r="A266" s="3" t="s">
        <v>85</v>
      </c>
      <c r="B266" s="5">
        <v>100000</v>
      </c>
      <c r="C266" s="3" t="s">
        <v>7</v>
      </c>
      <c r="D266" s="3">
        <v>7</v>
      </c>
      <c r="E266" s="3" t="s">
        <v>7</v>
      </c>
      <c r="F266" s="3" t="s">
        <v>76</v>
      </c>
    </row>
    <row r="267" spans="1:6" x14ac:dyDescent="0.3">
      <c r="A267" s="3" t="s">
        <v>86</v>
      </c>
      <c r="B267" s="5">
        <v>40000</v>
      </c>
      <c r="C267" s="3" t="s">
        <v>7</v>
      </c>
      <c r="D267" s="3">
        <v>5</v>
      </c>
      <c r="E267" s="3" t="s">
        <v>7</v>
      </c>
      <c r="F267" s="3" t="s">
        <v>76</v>
      </c>
    </row>
    <row r="268" spans="1:6" x14ac:dyDescent="0.3">
      <c r="A268" s="3" t="s">
        <v>87</v>
      </c>
      <c r="B268" s="5">
        <v>60000</v>
      </c>
      <c r="C268" s="3" t="s">
        <v>7</v>
      </c>
      <c r="D268" s="3">
        <v>7</v>
      </c>
      <c r="E268" s="3" t="s">
        <v>7</v>
      </c>
      <c r="F268" s="3" t="s">
        <v>76</v>
      </c>
    </row>
    <row r="269" spans="1:6" x14ac:dyDescent="0.3">
      <c r="A269" s="3" t="s">
        <v>88</v>
      </c>
      <c r="B269" s="5">
        <v>60000</v>
      </c>
      <c r="C269" s="3" t="s">
        <v>7</v>
      </c>
      <c r="D269" s="3">
        <v>7</v>
      </c>
      <c r="E269" s="3" t="s">
        <v>7</v>
      </c>
      <c r="F269" s="3" t="s">
        <v>76</v>
      </c>
    </row>
    <row r="270" spans="1:6" x14ac:dyDescent="0.3">
      <c r="A270" s="3" t="s">
        <v>89</v>
      </c>
      <c r="B270" s="5">
        <v>30000</v>
      </c>
      <c r="C270" s="3" t="s">
        <v>7</v>
      </c>
      <c r="D270" s="3">
        <v>7</v>
      </c>
      <c r="E270" s="3" t="s">
        <v>7</v>
      </c>
      <c r="F270" s="3" t="s">
        <v>76</v>
      </c>
    </row>
    <row r="271" spans="1:6" x14ac:dyDescent="0.3">
      <c r="A271" s="3" t="s">
        <v>90</v>
      </c>
      <c r="B271" s="5">
        <v>80000</v>
      </c>
      <c r="C271" s="3" t="s">
        <v>7</v>
      </c>
      <c r="D271" s="3">
        <v>5</v>
      </c>
      <c r="E271" s="3" t="s">
        <v>7</v>
      </c>
      <c r="F271" s="3" t="s">
        <v>76</v>
      </c>
    </row>
    <row r="272" spans="1:6" x14ac:dyDescent="0.3">
      <c r="A272" s="3" t="s">
        <v>91</v>
      </c>
      <c r="B272" s="5">
        <v>30000</v>
      </c>
      <c r="C272" s="3" t="s">
        <v>7</v>
      </c>
      <c r="D272" s="3">
        <v>5</v>
      </c>
      <c r="E272" s="3" t="s">
        <v>7</v>
      </c>
      <c r="F272" s="3" t="s">
        <v>76</v>
      </c>
    </row>
    <row r="273" spans="1:7" x14ac:dyDescent="0.3">
      <c r="A273" s="3" t="s">
        <v>92</v>
      </c>
      <c r="B273" s="5">
        <v>50000</v>
      </c>
      <c r="C273" s="3" t="s">
        <v>7</v>
      </c>
      <c r="D273" s="3">
        <v>7</v>
      </c>
      <c r="E273" s="3" t="s">
        <v>7</v>
      </c>
      <c r="F273" s="3" t="s">
        <v>76</v>
      </c>
    </row>
    <row r="274" spans="1:7" x14ac:dyDescent="0.3">
      <c r="A274" s="3" t="s">
        <v>93</v>
      </c>
      <c r="B274" s="5">
        <v>60000</v>
      </c>
      <c r="C274" s="3" t="s">
        <v>7</v>
      </c>
      <c r="D274" s="3">
        <v>7</v>
      </c>
      <c r="E274" s="3" t="s">
        <v>7</v>
      </c>
      <c r="F274" s="3" t="s">
        <v>76</v>
      </c>
    </row>
    <row r="275" spans="1:7" x14ac:dyDescent="0.3">
      <c r="A275" s="3" t="s">
        <v>94</v>
      </c>
      <c r="B275" s="5">
        <v>15000</v>
      </c>
      <c r="C275" s="3" t="s">
        <v>7</v>
      </c>
      <c r="D275" s="3">
        <v>7</v>
      </c>
      <c r="E275" s="3" t="s">
        <v>7</v>
      </c>
      <c r="F275" s="3" t="s">
        <v>76</v>
      </c>
    </row>
    <row r="276" spans="1:7" x14ac:dyDescent="0.3">
      <c r="A276" s="3" t="s">
        <v>99</v>
      </c>
      <c r="B276" s="3">
        <v>5000</v>
      </c>
      <c r="C276" s="3" t="s">
        <v>7</v>
      </c>
      <c r="D276" s="3">
        <v>7</v>
      </c>
      <c r="E276" s="3" t="s">
        <v>7</v>
      </c>
      <c r="F276" s="3" t="s">
        <v>76</v>
      </c>
    </row>
    <row r="277" spans="1:7" x14ac:dyDescent="0.3">
      <c r="A277" s="3" t="s">
        <v>95</v>
      </c>
      <c r="B277" s="5">
        <v>10000</v>
      </c>
      <c r="C277" s="3" t="s">
        <v>7</v>
      </c>
      <c r="D277" s="3">
        <v>7</v>
      </c>
      <c r="E277" s="3" t="s">
        <v>7</v>
      </c>
      <c r="F277" s="3" t="s">
        <v>76</v>
      </c>
    </row>
    <row r="278" spans="1:7" x14ac:dyDescent="0.3">
      <c r="A278" s="3" t="s">
        <v>96</v>
      </c>
      <c r="B278" s="5">
        <v>30000</v>
      </c>
      <c r="C278" s="3" t="s">
        <v>7</v>
      </c>
      <c r="D278" s="3">
        <v>7</v>
      </c>
      <c r="E278" s="3" t="s">
        <v>7</v>
      </c>
      <c r="F278" s="3" t="s">
        <v>76</v>
      </c>
    </row>
    <row r="279" spans="1:7" x14ac:dyDescent="0.3">
      <c r="A279" s="3" t="s">
        <v>97</v>
      </c>
      <c r="B279" s="5">
        <v>10000</v>
      </c>
      <c r="C279" s="3" t="s">
        <v>7</v>
      </c>
      <c r="D279" s="3">
        <v>5</v>
      </c>
      <c r="E279" s="3" t="s">
        <v>7</v>
      </c>
      <c r="F279" s="3" t="s">
        <v>76</v>
      </c>
    </row>
    <row r="280" spans="1:7" x14ac:dyDescent="0.3">
      <c r="A280" s="3" t="s">
        <v>98</v>
      </c>
      <c r="B280" s="5">
        <v>10000</v>
      </c>
      <c r="C280" s="3" t="s">
        <v>7</v>
      </c>
      <c r="D280" s="3">
        <v>5</v>
      </c>
      <c r="E280" s="3" t="s">
        <v>7</v>
      </c>
      <c r="F280" s="3" t="s">
        <v>76</v>
      </c>
    </row>
    <row r="281" spans="1:7" x14ac:dyDescent="0.3">
      <c r="A281" s="3" t="s">
        <v>5</v>
      </c>
      <c r="B281" s="5">
        <v>5000</v>
      </c>
      <c r="C281" s="3" t="s">
        <v>7</v>
      </c>
      <c r="D281" s="3">
        <v>7</v>
      </c>
      <c r="E281" s="3" t="s">
        <v>7</v>
      </c>
      <c r="F281" s="3" t="s">
        <v>102</v>
      </c>
    </row>
    <row r="282" spans="1:7" x14ac:dyDescent="0.3">
      <c r="A282" s="3" t="s">
        <v>6</v>
      </c>
      <c r="B282" s="5">
        <v>10000</v>
      </c>
      <c r="C282" s="3" t="s">
        <v>7</v>
      </c>
      <c r="D282" s="3">
        <v>7</v>
      </c>
      <c r="E282" s="3" t="s">
        <v>7</v>
      </c>
      <c r="F282" s="3" t="s">
        <v>102</v>
      </c>
    </row>
    <row r="283" spans="1:7" x14ac:dyDescent="0.3">
      <c r="A283" s="3" t="s">
        <v>44</v>
      </c>
      <c r="F283" s="3" t="s">
        <v>102</v>
      </c>
    </row>
    <row r="284" spans="1:7" x14ac:dyDescent="0.3">
      <c r="A284" s="3" t="s">
        <v>57</v>
      </c>
      <c r="B284" s="5">
        <v>15000</v>
      </c>
      <c r="C284" s="3" t="s">
        <v>7</v>
      </c>
      <c r="D284" s="3">
        <v>7</v>
      </c>
      <c r="E284" s="3" t="s">
        <v>7</v>
      </c>
      <c r="F284" s="3" t="s">
        <v>102</v>
      </c>
    </row>
    <row r="285" spans="1:7" x14ac:dyDescent="0.3">
      <c r="A285" s="3" t="s">
        <v>58</v>
      </c>
      <c r="B285" s="5">
        <v>20000</v>
      </c>
      <c r="C285" s="3" t="s">
        <v>7</v>
      </c>
      <c r="D285" s="3">
        <v>7</v>
      </c>
      <c r="E285" s="3" t="s">
        <v>7</v>
      </c>
      <c r="F285" s="3" t="s">
        <v>102</v>
      </c>
      <c r="G285" s="3" t="s">
        <v>100</v>
      </c>
    </row>
    <row r="286" spans="1:7" x14ac:dyDescent="0.3">
      <c r="A286" s="3" t="s">
        <v>8</v>
      </c>
      <c r="B286" s="5">
        <v>10000</v>
      </c>
      <c r="C286" s="3" t="s">
        <v>7</v>
      </c>
      <c r="D286" s="3">
        <v>7</v>
      </c>
      <c r="E286" s="3" t="s">
        <v>7</v>
      </c>
      <c r="F286" s="3" t="s">
        <v>102</v>
      </c>
    </row>
    <row r="287" spans="1:7" x14ac:dyDescent="0.3">
      <c r="A287" s="3" t="s">
        <v>9</v>
      </c>
      <c r="B287" s="5">
        <v>12000</v>
      </c>
      <c r="C287" s="3" t="s">
        <v>7</v>
      </c>
      <c r="D287" s="3">
        <v>7</v>
      </c>
      <c r="E287" s="3" t="s">
        <v>7</v>
      </c>
      <c r="F287" s="3" t="s">
        <v>102</v>
      </c>
    </row>
    <row r="288" spans="1:7" x14ac:dyDescent="0.3">
      <c r="A288" s="3" t="s">
        <v>10</v>
      </c>
      <c r="B288" s="5"/>
      <c r="F288" s="3" t="s">
        <v>102</v>
      </c>
    </row>
    <row r="289" spans="1:6" x14ac:dyDescent="0.3">
      <c r="A289" s="3" t="s">
        <v>11</v>
      </c>
      <c r="F289" s="3" t="s">
        <v>102</v>
      </c>
    </row>
    <row r="290" spans="1:6" x14ac:dyDescent="0.3">
      <c r="A290" s="3" t="s">
        <v>12</v>
      </c>
      <c r="F290" s="3" t="s">
        <v>102</v>
      </c>
    </row>
    <row r="291" spans="1:6" x14ac:dyDescent="0.3">
      <c r="A291" s="3" t="s">
        <v>13</v>
      </c>
      <c r="F291" s="3" t="s">
        <v>102</v>
      </c>
    </row>
    <row r="292" spans="1:6" x14ac:dyDescent="0.3">
      <c r="A292" s="3" t="s">
        <v>14</v>
      </c>
      <c r="F292" s="3" t="s">
        <v>102</v>
      </c>
    </row>
    <row r="293" spans="1:6" x14ac:dyDescent="0.3">
      <c r="A293" s="3" t="s">
        <v>15</v>
      </c>
      <c r="F293" s="3" t="s">
        <v>102</v>
      </c>
    </row>
    <row r="294" spans="1:6" x14ac:dyDescent="0.3">
      <c r="A294" s="4" t="s">
        <v>55</v>
      </c>
      <c r="F294" s="3" t="s">
        <v>102</v>
      </c>
    </row>
    <row r="295" spans="1:6" x14ac:dyDescent="0.3">
      <c r="A295" s="4" t="s">
        <v>56</v>
      </c>
      <c r="F295" s="3" t="s">
        <v>102</v>
      </c>
    </row>
    <row r="296" spans="1:6" x14ac:dyDescent="0.3">
      <c r="A296" s="3" t="s">
        <v>59</v>
      </c>
      <c r="B296" s="5">
        <v>20000</v>
      </c>
      <c r="C296" s="3" t="s">
        <v>7</v>
      </c>
      <c r="D296" s="3">
        <v>7</v>
      </c>
      <c r="E296" s="3" t="s">
        <v>7</v>
      </c>
      <c r="F296" s="3" t="s">
        <v>102</v>
      </c>
    </row>
    <row r="297" spans="1:6" x14ac:dyDescent="0.3">
      <c r="A297" s="3" t="s">
        <v>60</v>
      </c>
      <c r="B297" s="5">
        <v>30000</v>
      </c>
      <c r="C297" s="3" t="s">
        <v>7</v>
      </c>
      <c r="D297" s="3">
        <v>7</v>
      </c>
      <c r="E297" s="3" t="s">
        <v>7</v>
      </c>
      <c r="F297" s="3" t="s">
        <v>102</v>
      </c>
    </row>
    <row r="298" spans="1:6" x14ac:dyDescent="0.3">
      <c r="A298" s="3" t="s">
        <v>61</v>
      </c>
      <c r="B298" s="5">
        <v>40000</v>
      </c>
      <c r="C298" s="3" t="s">
        <v>7</v>
      </c>
      <c r="D298" s="3">
        <v>7</v>
      </c>
      <c r="E298" s="3" t="s">
        <v>7</v>
      </c>
      <c r="F298" s="3" t="s">
        <v>102</v>
      </c>
    </row>
    <row r="299" spans="1:6" x14ac:dyDescent="0.3">
      <c r="A299" s="3" t="s">
        <v>62</v>
      </c>
      <c r="B299" s="5">
        <v>50000</v>
      </c>
      <c r="C299" s="3" t="s">
        <v>7</v>
      </c>
      <c r="D299" s="3">
        <v>7</v>
      </c>
      <c r="E299" s="3" t="s">
        <v>7</v>
      </c>
      <c r="F299" s="3" t="s">
        <v>102</v>
      </c>
    </row>
    <row r="300" spans="1:6" x14ac:dyDescent="0.3">
      <c r="A300" s="3" t="s">
        <v>63</v>
      </c>
      <c r="B300" s="5">
        <v>60000</v>
      </c>
      <c r="C300" s="3" t="s">
        <v>7</v>
      </c>
      <c r="D300" s="3">
        <v>7</v>
      </c>
      <c r="E300" s="3" t="s">
        <v>7</v>
      </c>
      <c r="F300" s="3" t="s">
        <v>102</v>
      </c>
    </row>
    <row r="301" spans="1:6" x14ac:dyDescent="0.3">
      <c r="A301" s="3" t="s">
        <v>64</v>
      </c>
      <c r="B301" s="5">
        <v>30000</v>
      </c>
      <c r="C301" s="3" t="s">
        <v>7</v>
      </c>
      <c r="D301" s="3">
        <v>7</v>
      </c>
      <c r="E301" s="3" t="s">
        <v>7</v>
      </c>
      <c r="F301" s="3" t="s">
        <v>102</v>
      </c>
    </row>
    <row r="302" spans="1:6" x14ac:dyDescent="0.3">
      <c r="A302" s="3" t="s">
        <v>65</v>
      </c>
      <c r="B302" s="5">
        <v>40000</v>
      </c>
      <c r="C302" s="3" t="s">
        <v>7</v>
      </c>
      <c r="D302" s="3">
        <v>7</v>
      </c>
      <c r="E302" s="3" t="s">
        <v>7</v>
      </c>
      <c r="F302" s="3" t="s">
        <v>102</v>
      </c>
    </row>
    <row r="303" spans="1:6" x14ac:dyDescent="0.3">
      <c r="A303" s="3" t="s">
        <v>66</v>
      </c>
      <c r="B303" s="5">
        <v>50000</v>
      </c>
      <c r="C303" s="3" t="s">
        <v>7</v>
      </c>
      <c r="D303" s="3">
        <v>7</v>
      </c>
      <c r="E303" s="3" t="s">
        <v>7</v>
      </c>
      <c r="F303" s="3" t="s">
        <v>102</v>
      </c>
    </row>
    <row r="304" spans="1:6" x14ac:dyDescent="0.3">
      <c r="A304" s="3" t="s">
        <v>67</v>
      </c>
      <c r="B304" s="5">
        <v>60000</v>
      </c>
      <c r="C304" s="3" t="s">
        <v>7</v>
      </c>
      <c r="D304" s="3">
        <v>7</v>
      </c>
      <c r="E304" s="3" t="s">
        <v>7</v>
      </c>
      <c r="F304" s="3" t="s">
        <v>102</v>
      </c>
    </row>
    <row r="305" spans="1:7" x14ac:dyDescent="0.3">
      <c r="A305" s="3" t="s">
        <v>68</v>
      </c>
      <c r="F305" s="3" t="s">
        <v>102</v>
      </c>
    </row>
    <row r="306" spans="1:7" x14ac:dyDescent="0.3">
      <c r="A306" s="3" t="s">
        <v>17</v>
      </c>
      <c r="F306" s="3" t="s">
        <v>102</v>
      </c>
    </row>
    <row r="307" spans="1:7" x14ac:dyDescent="0.3">
      <c r="A307" s="3" t="s">
        <v>18</v>
      </c>
      <c r="B307" s="5">
        <v>5000</v>
      </c>
      <c r="F307" s="3" t="s">
        <v>102</v>
      </c>
    </row>
    <row r="308" spans="1:7" x14ac:dyDescent="0.3">
      <c r="A308" s="3" t="s">
        <v>19</v>
      </c>
      <c r="B308" s="5">
        <v>10000</v>
      </c>
      <c r="F308" s="3" t="s">
        <v>102</v>
      </c>
    </row>
    <row r="309" spans="1:7" x14ac:dyDescent="0.3">
      <c r="A309" s="3" t="s">
        <v>20</v>
      </c>
      <c r="F309" s="3" t="s">
        <v>102</v>
      </c>
    </row>
    <row r="310" spans="1:7" x14ac:dyDescent="0.3">
      <c r="A310" s="3" t="s">
        <v>21</v>
      </c>
      <c r="F310" s="3" t="s">
        <v>102</v>
      </c>
    </row>
    <row r="311" spans="1:7" x14ac:dyDescent="0.3">
      <c r="A311" s="3" t="s">
        <v>22</v>
      </c>
      <c r="F311" s="3" t="s">
        <v>102</v>
      </c>
    </row>
    <row r="312" spans="1:7" x14ac:dyDescent="0.3">
      <c r="A312" s="3" t="s">
        <v>43</v>
      </c>
      <c r="B312" s="3">
        <v>200</v>
      </c>
      <c r="C312" s="3" t="s">
        <v>7</v>
      </c>
      <c r="D312" s="3">
        <v>7</v>
      </c>
      <c r="E312" s="3" t="s">
        <v>7</v>
      </c>
      <c r="F312" s="3" t="s">
        <v>102</v>
      </c>
      <c r="G312" s="3" t="s">
        <v>101</v>
      </c>
    </row>
    <row r="313" spans="1:7" x14ac:dyDescent="0.3">
      <c r="A313" s="3" t="s">
        <v>23</v>
      </c>
      <c r="B313" s="5">
        <v>20000</v>
      </c>
      <c r="C313" s="3" t="s">
        <v>7</v>
      </c>
      <c r="D313" s="3">
        <v>7</v>
      </c>
      <c r="E313" s="3" t="s">
        <v>7</v>
      </c>
      <c r="F313" s="3" t="s">
        <v>102</v>
      </c>
    </row>
    <row r="314" spans="1:7" x14ac:dyDescent="0.3">
      <c r="A314" s="3" t="s">
        <v>24</v>
      </c>
      <c r="B314" s="5">
        <v>20000</v>
      </c>
      <c r="F314" s="3" t="s">
        <v>102</v>
      </c>
    </row>
    <row r="315" spans="1:7" x14ac:dyDescent="0.3">
      <c r="A315" s="3" t="s">
        <v>25</v>
      </c>
      <c r="B315" s="5"/>
      <c r="F315" s="3" t="s">
        <v>102</v>
      </c>
    </row>
    <row r="316" spans="1:7" x14ac:dyDescent="0.3">
      <c r="A316" s="3" t="s">
        <v>26</v>
      </c>
      <c r="B316" s="5"/>
      <c r="F316" s="3" t="s">
        <v>102</v>
      </c>
    </row>
    <row r="317" spans="1:7" x14ac:dyDescent="0.3">
      <c r="A317" s="3" t="s">
        <v>27</v>
      </c>
      <c r="F317" s="3" t="s">
        <v>102</v>
      </c>
    </row>
    <row r="318" spans="1:7" x14ac:dyDescent="0.3">
      <c r="A318" s="3" t="s">
        <v>28</v>
      </c>
      <c r="F318" s="3" t="s">
        <v>102</v>
      </c>
    </row>
    <row r="319" spans="1:7" x14ac:dyDescent="0.3">
      <c r="A319" s="3" t="s">
        <v>29</v>
      </c>
      <c r="B319" s="5">
        <v>60000</v>
      </c>
      <c r="C319" s="3" t="s">
        <v>7</v>
      </c>
      <c r="D319" s="3">
        <v>10</v>
      </c>
      <c r="E319" s="3" t="s">
        <v>7</v>
      </c>
      <c r="F319" s="3" t="s">
        <v>102</v>
      </c>
    </row>
    <row r="320" spans="1:7" x14ac:dyDescent="0.3">
      <c r="A320" s="3" t="s">
        <v>30</v>
      </c>
      <c r="B320" s="5">
        <v>100000</v>
      </c>
      <c r="C320" s="3" t="s">
        <v>7</v>
      </c>
      <c r="D320" s="3">
        <v>14</v>
      </c>
      <c r="E320" s="3" t="s">
        <v>7</v>
      </c>
      <c r="F320" s="3" t="s">
        <v>102</v>
      </c>
    </row>
    <row r="321" spans="1:6" x14ac:dyDescent="0.3">
      <c r="A321" s="3" t="s">
        <v>31</v>
      </c>
      <c r="B321" s="5">
        <v>200000</v>
      </c>
      <c r="C321" s="3" t="s">
        <v>7</v>
      </c>
      <c r="D321" s="3">
        <v>21</v>
      </c>
      <c r="E321" s="3" t="s">
        <v>7</v>
      </c>
      <c r="F321" s="3" t="s">
        <v>102</v>
      </c>
    </row>
    <row r="322" spans="1:6" x14ac:dyDescent="0.3">
      <c r="A322" s="3" t="s">
        <v>32</v>
      </c>
      <c r="B322" s="5">
        <v>40000</v>
      </c>
      <c r="C322" s="3" t="s">
        <v>7</v>
      </c>
      <c r="D322" s="3">
        <v>7</v>
      </c>
      <c r="E322" s="3" t="s">
        <v>7</v>
      </c>
      <c r="F322" s="3" t="s">
        <v>102</v>
      </c>
    </row>
    <row r="323" spans="1:6" x14ac:dyDescent="0.3">
      <c r="A323" s="3" t="s">
        <v>41</v>
      </c>
      <c r="F323" s="3" t="s">
        <v>102</v>
      </c>
    </row>
    <row r="324" spans="1:6" x14ac:dyDescent="0.3">
      <c r="A324" s="3" t="s">
        <v>42</v>
      </c>
      <c r="F324" s="3" t="s">
        <v>102</v>
      </c>
    </row>
    <row r="325" spans="1:6" x14ac:dyDescent="0.3">
      <c r="A325" s="3" t="s">
        <v>46</v>
      </c>
      <c r="F325" s="3" t="s">
        <v>102</v>
      </c>
    </row>
    <row r="326" spans="1:6" x14ac:dyDescent="0.3">
      <c r="A326" s="3" t="s">
        <v>47</v>
      </c>
      <c r="F326" s="3" t="s">
        <v>102</v>
      </c>
    </row>
    <row r="327" spans="1:6" x14ac:dyDescent="0.3">
      <c r="A327" s="3" t="s">
        <v>51</v>
      </c>
      <c r="F327" s="3" t="s">
        <v>102</v>
      </c>
    </row>
    <row r="328" spans="1:6" x14ac:dyDescent="0.3">
      <c r="A328" s="3" t="s">
        <v>48</v>
      </c>
      <c r="F328" s="3" t="s">
        <v>102</v>
      </c>
    </row>
    <row r="329" spans="1:6" x14ac:dyDescent="0.3">
      <c r="A329" s="3" t="s">
        <v>49</v>
      </c>
      <c r="F329" s="3" t="s">
        <v>102</v>
      </c>
    </row>
    <row r="330" spans="1:6" x14ac:dyDescent="0.3">
      <c r="A330" s="3" t="s">
        <v>50</v>
      </c>
      <c r="F330" s="3" t="s">
        <v>102</v>
      </c>
    </row>
    <row r="331" spans="1:6" x14ac:dyDescent="0.3">
      <c r="A331" s="3" t="s">
        <v>69</v>
      </c>
      <c r="F331" s="3" t="s">
        <v>102</v>
      </c>
    </row>
    <row r="332" spans="1:6" x14ac:dyDescent="0.3">
      <c r="A332" s="3" t="s">
        <v>70</v>
      </c>
      <c r="F332" s="3" t="s">
        <v>102</v>
      </c>
    </row>
    <row r="333" spans="1:6" x14ac:dyDescent="0.3">
      <c r="A333" s="3" t="s">
        <v>71</v>
      </c>
      <c r="F333" s="3" t="s">
        <v>102</v>
      </c>
    </row>
    <row r="334" spans="1:6" x14ac:dyDescent="0.3">
      <c r="A334" s="3" t="s">
        <v>72</v>
      </c>
      <c r="F334" s="3" t="s">
        <v>102</v>
      </c>
    </row>
    <row r="335" spans="1:6" x14ac:dyDescent="0.3">
      <c r="A335" s="3" t="s">
        <v>73</v>
      </c>
      <c r="F335" s="3" t="s">
        <v>102</v>
      </c>
    </row>
    <row r="336" spans="1:6" x14ac:dyDescent="0.3">
      <c r="A336" s="3" t="s">
        <v>77</v>
      </c>
      <c r="F336" s="3" t="s">
        <v>102</v>
      </c>
    </row>
    <row r="337" spans="1:6" x14ac:dyDescent="0.3">
      <c r="A337" s="3" t="s">
        <v>78</v>
      </c>
      <c r="F337" s="3" t="s">
        <v>102</v>
      </c>
    </row>
    <row r="338" spans="1:6" x14ac:dyDescent="0.3">
      <c r="A338" s="3" t="s">
        <v>79</v>
      </c>
      <c r="F338" s="3" t="s">
        <v>102</v>
      </c>
    </row>
    <row r="339" spans="1:6" x14ac:dyDescent="0.3">
      <c r="A339" s="3" t="s">
        <v>80</v>
      </c>
      <c r="F339" s="3" t="s">
        <v>102</v>
      </c>
    </row>
    <row r="340" spans="1:6" x14ac:dyDescent="0.3">
      <c r="A340" s="3" t="s">
        <v>81</v>
      </c>
      <c r="F340" s="3" t="s">
        <v>102</v>
      </c>
    </row>
    <row r="341" spans="1:6" x14ac:dyDescent="0.3">
      <c r="A341" s="3" t="s">
        <v>82</v>
      </c>
      <c r="F341" s="3" t="s">
        <v>102</v>
      </c>
    </row>
    <row r="342" spans="1:6" x14ac:dyDescent="0.3">
      <c r="A342" s="3" t="s">
        <v>83</v>
      </c>
      <c r="F342" s="3" t="s">
        <v>102</v>
      </c>
    </row>
    <row r="343" spans="1:6" x14ac:dyDescent="0.3">
      <c r="A343" s="3" t="s">
        <v>84</v>
      </c>
      <c r="F343" s="3" t="s">
        <v>102</v>
      </c>
    </row>
    <row r="344" spans="1:6" x14ac:dyDescent="0.3">
      <c r="A344" s="3" t="s">
        <v>85</v>
      </c>
      <c r="F344" s="3" t="s">
        <v>102</v>
      </c>
    </row>
    <row r="345" spans="1:6" x14ac:dyDescent="0.3">
      <c r="A345" s="3" t="s">
        <v>86</v>
      </c>
      <c r="F345" s="3" t="s">
        <v>102</v>
      </c>
    </row>
    <row r="346" spans="1:6" x14ac:dyDescent="0.3">
      <c r="A346" s="3" t="s">
        <v>87</v>
      </c>
      <c r="F346" s="3" t="s">
        <v>102</v>
      </c>
    </row>
    <row r="347" spans="1:6" x14ac:dyDescent="0.3">
      <c r="A347" s="3" t="s">
        <v>88</v>
      </c>
      <c r="F347" s="3" t="s">
        <v>102</v>
      </c>
    </row>
    <row r="348" spans="1:6" x14ac:dyDescent="0.3">
      <c r="A348" s="3" t="s">
        <v>89</v>
      </c>
      <c r="F348" s="3" t="s">
        <v>102</v>
      </c>
    </row>
    <row r="349" spans="1:6" x14ac:dyDescent="0.3">
      <c r="A349" s="3" t="s">
        <v>90</v>
      </c>
      <c r="F349" s="3" t="s">
        <v>102</v>
      </c>
    </row>
    <row r="350" spans="1:6" x14ac:dyDescent="0.3">
      <c r="A350" s="3" t="s">
        <v>91</v>
      </c>
      <c r="F350" s="3" t="s">
        <v>102</v>
      </c>
    </row>
    <row r="351" spans="1:6" x14ac:dyDescent="0.3">
      <c r="A351" s="3" t="s">
        <v>92</v>
      </c>
      <c r="F351" s="3" t="s">
        <v>102</v>
      </c>
    </row>
    <row r="352" spans="1:6" x14ac:dyDescent="0.3">
      <c r="A352" s="3" t="s">
        <v>93</v>
      </c>
      <c r="F352" s="3" t="s">
        <v>102</v>
      </c>
    </row>
    <row r="353" spans="1:6" x14ac:dyDescent="0.3">
      <c r="A353" s="3" t="s">
        <v>94</v>
      </c>
      <c r="F353" s="3" t="s">
        <v>102</v>
      </c>
    </row>
    <row r="354" spans="1:6" x14ac:dyDescent="0.3">
      <c r="A354" s="3" t="s">
        <v>99</v>
      </c>
      <c r="F354" s="3" t="s">
        <v>102</v>
      </c>
    </row>
    <row r="355" spans="1:6" x14ac:dyDescent="0.3">
      <c r="A355" s="3" t="s">
        <v>95</v>
      </c>
      <c r="F355" s="3" t="s">
        <v>102</v>
      </c>
    </row>
    <row r="356" spans="1:6" x14ac:dyDescent="0.3">
      <c r="A356" s="3" t="s">
        <v>96</v>
      </c>
      <c r="F356" s="3" t="s">
        <v>102</v>
      </c>
    </row>
    <row r="357" spans="1:6" x14ac:dyDescent="0.3">
      <c r="A357" s="3" t="s">
        <v>97</v>
      </c>
      <c r="F357" s="3" t="s">
        <v>102</v>
      </c>
    </row>
    <row r="358" spans="1:6" x14ac:dyDescent="0.3">
      <c r="A358" s="3" t="s">
        <v>98</v>
      </c>
      <c r="F358" s="3" t="s">
        <v>102</v>
      </c>
    </row>
    <row r="359" spans="1:6" x14ac:dyDescent="0.3">
      <c r="A359" s="3" t="s">
        <v>5</v>
      </c>
      <c r="B359" s="5">
        <v>10000</v>
      </c>
      <c r="F359" s="3" t="s">
        <v>106</v>
      </c>
    </row>
    <row r="360" spans="1:6" x14ac:dyDescent="0.3">
      <c r="A360" s="3" t="s">
        <v>6</v>
      </c>
      <c r="F360" s="3" t="s">
        <v>106</v>
      </c>
    </row>
    <row r="361" spans="1:6" x14ac:dyDescent="0.3">
      <c r="A361" s="3" t="s">
        <v>44</v>
      </c>
      <c r="F361" s="3" t="s">
        <v>106</v>
      </c>
    </row>
    <row r="362" spans="1:6" x14ac:dyDescent="0.3">
      <c r="A362" s="3" t="s">
        <v>57</v>
      </c>
      <c r="F362" s="3" t="s">
        <v>106</v>
      </c>
    </row>
    <row r="363" spans="1:6" x14ac:dyDescent="0.3">
      <c r="A363" s="3" t="s">
        <v>58</v>
      </c>
      <c r="F363" s="3" t="s">
        <v>106</v>
      </c>
    </row>
    <row r="364" spans="1:6" x14ac:dyDescent="0.3">
      <c r="A364" s="3" t="s">
        <v>8</v>
      </c>
      <c r="F364" s="3" t="s">
        <v>106</v>
      </c>
    </row>
    <row r="365" spans="1:6" x14ac:dyDescent="0.3">
      <c r="A365" s="3" t="s">
        <v>9</v>
      </c>
      <c r="F365" s="3" t="s">
        <v>106</v>
      </c>
    </row>
    <row r="366" spans="1:6" x14ac:dyDescent="0.3">
      <c r="A366" s="3" t="s">
        <v>10</v>
      </c>
      <c r="F366" s="3" t="s">
        <v>106</v>
      </c>
    </row>
    <row r="367" spans="1:6" x14ac:dyDescent="0.3">
      <c r="A367" s="3" t="s">
        <v>11</v>
      </c>
      <c r="F367" s="3" t="s">
        <v>106</v>
      </c>
    </row>
    <row r="368" spans="1:6" x14ac:dyDescent="0.3">
      <c r="A368" s="3" t="s">
        <v>12</v>
      </c>
      <c r="F368" s="3" t="s">
        <v>106</v>
      </c>
    </row>
    <row r="369" spans="1:6" x14ac:dyDescent="0.3">
      <c r="A369" s="3" t="s">
        <v>13</v>
      </c>
      <c r="B369" s="5">
        <v>18000</v>
      </c>
      <c r="F369" s="3" t="s">
        <v>106</v>
      </c>
    </row>
    <row r="370" spans="1:6" x14ac:dyDescent="0.3">
      <c r="A370" s="3" t="s">
        <v>14</v>
      </c>
      <c r="B370" s="5">
        <v>25000</v>
      </c>
      <c r="F370" s="3" t="s">
        <v>106</v>
      </c>
    </row>
    <row r="371" spans="1:6" x14ac:dyDescent="0.3">
      <c r="A371" s="3" t="s">
        <v>15</v>
      </c>
      <c r="B371" s="5">
        <v>39000</v>
      </c>
      <c r="F371" s="3" t="s">
        <v>106</v>
      </c>
    </row>
    <row r="372" spans="1:6" x14ac:dyDescent="0.3">
      <c r="A372" s="4" t="s">
        <v>55</v>
      </c>
      <c r="F372" s="3" t="s">
        <v>106</v>
      </c>
    </row>
    <row r="373" spans="1:6" x14ac:dyDescent="0.3">
      <c r="A373" s="4" t="s">
        <v>56</v>
      </c>
      <c r="F373" s="3" t="s">
        <v>106</v>
      </c>
    </row>
    <row r="374" spans="1:6" x14ac:dyDescent="0.3">
      <c r="A374" s="3" t="s">
        <v>59</v>
      </c>
      <c r="B374" s="5">
        <v>18000</v>
      </c>
      <c r="F374" s="3" t="s">
        <v>106</v>
      </c>
    </row>
    <row r="375" spans="1:6" x14ac:dyDescent="0.3">
      <c r="A375" s="3" t="s">
        <v>60</v>
      </c>
      <c r="B375" s="5">
        <v>20000</v>
      </c>
      <c r="F375" s="3" t="s">
        <v>106</v>
      </c>
    </row>
    <row r="376" spans="1:6" x14ac:dyDescent="0.3">
      <c r="A376" s="3" t="s">
        <v>61</v>
      </c>
      <c r="B376" s="5">
        <v>25000</v>
      </c>
      <c r="F376" s="3" t="s">
        <v>106</v>
      </c>
    </row>
    <row r="377" spans="1:6" x14ac:dyDescent="0.3">
      <c r="A377" s="3" t="s">
        <v>62</v>
      </c>
      <c r="B377" s="5">
        <v>30000</v>
      </c>
      <c r="F377" s="3" t="s">
        <v>106</v>
      </c>
    </row>
    <row r="378" spans="1:6" x14ac:dyDescent="0.3">
      <c r="A378" s="3" t="s">
        <v>63</v>
      </c>
      <c r="B378" s="5">
        <v>40000</v>
      </c>
      <c r="F378" s="3" t="s">
        <v>106</v>
      </c>
    </row>
    <row r="379" spans="1:6" x14ac:dyDescent="0.3">
      <c r="A379" s="3" t="s">
        <v>64</v>
      </c>
      <c r="B379" s="5">
        <v>50000</v>
      </c>
      <c r="F379" s="3" t="s">
        <v>106</v>
      </c>
    </row>
    <row r="380" spans="1:6" x14ac:dyDescent="0.3">
      <c r="A380" s="3" t="s">
        <v>65</v>
      </c>
      <c r="F380" s="3" t="s">
        <v>106</v>
      </c>
    </row>
    <row r="381" spans="1:6" x14ac:dyDescent="0.3">
      <c r="A381" s="3" t="s">
        <v>66</v>
      </c>
      <c r="F381" s="3" t="s">
        <v>106</v>
      </c>
    </row>
    <row r="382" spans="1:6" x14ac:dyDescent="0.3">
      <c r="A382" s="3" t="s">
        <v>67</v>
      </c>
      <c r="F382" s="3" t="s">
        <v>106</v>
      </c>
    </row>
    <row r="383" spans="1:6" x14ac:dyDescent="0.3">
      <c r="A383" s="3" t="s">
        <v>68</v>
      </c>
      <c r="B383" s="5">
        <v>7900</v>
      </c>
      <c r="F383" s="3" t="s">
        <v>106</v>
      </c>
    </row>
    <row r="384" spans="1:6" x14ac:dyDescent="0.3">
      <c r="A384" s="3" t="s">
        <v>17</v>
      </c>
      <c r="F384" s="3" t="s">
        <v>106</v>
      </c>
    </row>
    <row r="385" spans="1:6" x14ac:dyDescent="0.3">
      <c r="A385" s="3" t="s">
        <v>18</v>
      </c>
      <c r="B385" s="5">
        <v>4900</v>
      </c>
      <c r="F385" s="3" t="s">
        <v>106</v>
      </c>
    </row>
    <row r="386" spans="1:6" x14ac:dyDescent="0.3">
      <c r="A386" s="3" t="s">
        <v>19</v>
      </c>
      <c r="B386" s="5">
        <v>4900</v>
      </c>
      <c r="F386" s="3" t="s">
        <v>106</v>
      </c>
    </row>
    <row r="387" spans="1:6" x14ac:dyDescent="0.3">
      <c r="A387" s="3" t="s">
        <v>20</v>
      </c>
      <c r="F387" s="3" t="s">
        <v>106</v>
      </c>
    </row>
    <row r="388" spans="1:6" x14ac:dyDescent="0.3">
      <c r="A388" s="3" t="s">
        <v>21</v>
      </c>
      <c r="F388" s="3" t="s">
        <v>106</v>
      </c>
    </row>
    <row r="389" spans="1:6" x14ac:dyDescent="0.3">
      <c r="A389" s="3" t="s">
        <v>22</v>
      </c>
      <c r="F389" s="3" t="s">
        <v>106</v>
      </c>
    </row>
    <row r="390" spans="1:6" x14ac:dyDescent="0.3">
      <c r="A390" s="3" t="s">
        <v>43</v>
      </c>
      <c r="B390" s="3">
        <v>800</v>
      </c>
      <c r="F390" s="3" t="s">
        <v>106</v>
      </c>
    </row>
    <row r="391" spans="1:6" x14ac:dyDescent="0.3">
      <c r="A391" s="3" t="s">
        <v>23</v>
      </c>
      <c r="B391" s="5">
        <v>8000</v>
      </c>
      <c r="F391" s="3" t="s">
        <v>106</v>
      </c>
    </row>
    <row r="392" spans="1:6" x14ac:dyDescent="0.3">
      <c r="A392" s="3" t="s">
        <v>24</v>
      </c>
      <c r="B392" s="5">
        <v>60000</v>
      </c>
      <c r="F392" s="3" t="s">
        <v>106</v>
      </c>
    </row>
    <row r="393" spans="1:6" x14ac:dyDescent="0.3">
      <c r="A393" s="3" t="s">
        <v>25</v>
      </c>
      <c r="F393" s="3" t="s">
        <v>106</v>
      </c>
    </row>
    <row r="394" spans="1:6" x14ac:dyDescent="0.3">
      <c r="A394" s="3" t="s">
        <v>26</v>
      </c>
      <c r="B394" s="5">
        <v>12000</v>
      </c>
      <c r="F394" s="3" t="s">
        <v>106</v>
      </c>
    </row>
    <row r="395" spans="1:6" x14ac:dyDescent="0.3">
      <c r="A395" s="3" t="s">
        <v>27</v>
      </c>
      <c r="B395" s="5">
        <v>12000</v>
      </c>
      <c r="F395" s="3" t="s">
        <v>106</v>
      </c>
    </row>
    <row r="396" spans="1:6" x14ac:dyDescent="0.3">
      <c r="A396" s="3" t="s">
        <v>28</v>
      </c>
      <c r="F396" s="3" t="s">
        <v>106</v>
      </c>
    </row>
    <row r="397" spans="1:6" x14ac:dyDescent="0.3">
      <c r="A397" s="3" t="s">
        <v>29</v>
      </c>
      <c r="B397" s="5">
        <v>25000</v>
      </c>
      <c r="F397" s="3" t="s">
        <v>106</v>
      </c>
    </row>
    <row r="398" spans="1:6" x14ac:dyDescent="0.3">
      <c r="A398" s="3" t="s">
        <v>30</v>
      </c>
      <c r="B398" s="5">
        <v>45000</v>
      </c>
      <c r="F398" s="3" t="s">
        <v>106</v>
      </c>
    </row>
    <row r="399" spans="1:6" x14ac:dyDescent="0.3">
      <c r="A399" s="3" t="s">
        <v>31</v>
      </c>
      <c r="B399" s="5">
        <v>90000</v>
      </c>
      <c r="F399" s="3" t="s">
        <v>106</v>
      </c>
    </row>
    <row r="400" spans="1:6" x14ac:dyDescent="0.3">
      <c r="A400" s="3" t="s">
        <v>32</v>
      </c>
      <c r="B400" s="5">
        <v>15000</v>
      </c>
      <c r="F400" s="3" t="s">
        <v>106</v>
      </c>
    </row>
    <row r="401" spans="1:7" x14ac:dyDescent="0.3">
      <c r="A401" s="3" t="s">
        <v>41</v>
      </c>
      <c r="F401" s="3" t="s">
        <v>106</v>
      </c>
    </row>
    <row r="402" spans="1:7" x14ac:dyDescent="0.3">
      <c r="A402" s="3" t="s">
        <v>42</v>
      </c>
      <c r="B402" s="5">
        <v>30000</v>
      </c>
      <c r="F402" s="3" t="s">
        <v>106</v>
      </c>
    </row>
    <row r="403" spans="1:7" x14ac:dyDescent="0.3">
      <c r="A403" s="3" t="s">
        <v>46</v>
      </c>
      <c r="B403" s="5">
        <v>30000</v>
      </c>
      <c r="F403" s="3" t="s">
        <v>106</v>
      </c>
    </row>
    <row r="404" spans="1:7" x14ac:dyDescent="0.3">
      <c r="A404" s="3" t="s">
        <v>47</v>
      </c>
      <c r="B404" s="5">
        <v>30000</v>
      </c>
      <c r="F404" s="3" t="s">
        <v>106</v>
      </c>
    </row>
    <row r="405" spans="1:7" x14ac:dyDescent="0.3">
      <c r="A405" s="3" t="s">
        <v>51</v>
      </c>
      <c r="B405" s="5">
        <v>30000</v>
      </c>
      <c r="F405" s="3" t="s">
        <v>106</v>
      </c>
    </row>
    <row r="406" spans="1:7" x14ac:dyDescent="0.3">
      <c r="A406" s="3" t="s">
        <v>48</v>
      </c>
      <c r="B406" s="5">
        <v>30000</v>
      </c>
      <c r="F406" s="3" t="s">
        <v>106</v>
      </c>
    </row>
    <row r="407" spans="1:7" x14ac:dyDescent="0.3">
      <c r="A407" s="3" t="s">
        <v>49</v>
      </c>
      <c r="B407" s="5">
        <v>30000</v>
      </c>
      <c r="F407" s="3" t="s">
        <v>106</v>
      </c>
    </row>
    <row r="408" spans="1:7" x14ac:dyDescent="0.3">
      <c r="A408" s="3" t="s">
        <v>50</v>
      </c>
      <c r="B408" s="5">
        <v>30000</v>
      </c>
      <c r="F408" s="3" t="s">
        <v>106</v>
      </c>
    </row>
    <row r="409" spans="1:7" x14ac:dyDescent="0.3">
      <c r="A409" s="3" t="s">
        <v>69</v>
      </c>
      <c r="B409" s="5">
        <v>15000</v>
      </c>
      <c r="F409" s="3" t="s">
        <v>106</v>
      </c>
    </row>
    <row r="410" spans="1:7" x14ac:dyDescent="0.3">
      <c r="A410" s="3" t="s">
        <v>70</v>
      </c>
      <c r="B410" s="5">
        <v>25000</v>
      </c>
      <c r="F410" s="3" t="s">
        <v>106</v>
      </c>
    </row>
    <row r="411" spans="1:7" x14ac:dyDescent="0.3">
      <c r="A411" s="3" t="s">
        <v>71</v>
      </c>
      <c r="F411" s="3" t="s">
        <v>106</v>
      </c>
    </row>
    <row r="412" spans="1:7" x14ac:dyDescent="0.3">
      <c r="A412" s="3" t="s">
        <v>72</v>
      </c>
      <c r="F412" s="3" t="s">
        <v>106</v>
      </c>
    </row>
    <row r="413" spans="1:7" x14ac:dyDescent="0.3">
      <c r="A413" s="3" t="s">
        <v>73</v>
      </c>
      <c r="F413" s="3" t="s">
        <v>106</v>
      </c>
    </row>
    <row r="414" spans="1:7" x14ac:dyDescent="0.3">
      <c r="A414" s="3" t="s">
        <v>77</v>
      </c>
      <c r="F414" s="3" t="s">
        <v>106</v>
      </c>
    </row>
    <row r="415" spans="1:7" x14ac:dyDescent="0.3">
      <c r="A415" s="3" t="s">
        <v>78</v>
      </c>
      <c r="F415" s="3" t="s">
        <v>106</v>
      </c>
    </row>
    <row r="416" spans="1:7" x14ac:dyDescent="0.3">
      <c r="A416" s="3" t="s">
        <v>79</v>
      </c>
      <c r="B416" s="5">
        <v>15000</v>
      </c>
      <c r="F416" s="3" t="s">
        <v>106</v>
      </c>
      <c r="G416" s="3" t="s">
        <v>105</v>
      </c>
    </row>
    <row r="417" spans="1:6" x14ac:dyDescent="0.3">
      <c r="A417" s="3" t="s">
        <v>80</v>
      </c>
      <c r="F417" s="3" t="s">
        <v>106</v>
      </c>
    </row>
    <row r="418" spans="1:6" x14ac:dyDescent="0.3">
      <c r="A418" s="3" t="s">
        <v>81</v>
      </c>
      <c r="F418" s="3" t="s">
        <v>106</v>
      </c>
    </row>
    <row r="419" spans="1:6" x14ac:dyDescent="0.3">
      <c r="A419" s="3" t="s">
        <v>82</v>
      </c>
      <c r="F419" s="3" t="s">
        <v>106</v>
      </c>
    </row>
    <row r="420" spans="1:6" x14ac:dyDescent="0.3">
      <c r="A420" s="3" t="s">
        <v>83</v>
      </c>
      <c r="F420" s="3" t="s">
        <v>106</v>
      </c>
    </row>
    <row r="421" spans="1:6" x14ac:dyDescent="0.3">
      <c r="A421" s="3" t="s">
        <v>84</v>
      </c>
      <c r="F421" s="3" t="s">
        <v>106</v>
      </c>
    </row>
    <row r="422" spans="1:6" x14ac:dyDescent="0.3">
      <c r="A422" s="3" t="s">
        <v>85</v>
      </c>
      <c r="F422" s="3" t="s">
        <v>106</v>
      </c>
    </row>
    <row r="423" spans="1:6" x14ac:dyDescent="0.3">
      <c r="A423" s="3" t="s">
        <v>86</v>
      </c>
      <c r="F423" s="3" t="s">
        <v>106</v>
      </c>
    </row>
    <row r="424" spans="1:6" x14ac:dyDescent="0.3">
      <c r="A424" s="3" t="s">
        <v>87</v>
      </c>
      <c r="F424" s="3" t="s">
        <v>106</v>
      </c>
    </row>
    <row r="425" spans="1:6" x14ac:dyDescent="0.3">
      <c r="A425" s="3" t="s">
        <v>88</v>
      </c>
      <c r="F425" s="3" t="s">
        <v>106</v>
      </c>
    </row>
    <row r="426" spans="1:6" x14ac:dyDescent="0.3">
      <c r="A426" s="3" t="s">
        <v>89</v>
      </c>
      <c r="F426" s="3" t="s">
        <v>106</v>
      </c>
    </row>
    <row r="427" spans="1:6" x14ac:dyDescent="0.3">
      <c r="A427" s="3" t="s">
        <v>90</v>
      </c>
      <c r="F427" s="3" t="s">
        <v>106</v>
      </c>
    </row>
    <row r="428" spans="1:6" x14ac:dyDescent="0.3">
      <c r="A428" s="3" t="s">
        <v>91</v>
      </c>
      <c r="F428" s="3" t="s">
        <v>106</v>
      </c>
    </row>
    <row r="429" spans="1:6" x14ac:dyDescent="0.3">
      <c r="A429" s="3" t="s">
        <v>92</v>
      </c>
      <c r="F429" s="3" t="s">
        <v>106</v>
      </c>
    </row>
    <row r="430" spans="1:6" x14ac:dyDescent="0.3">
      <c r="A430" s="3" t="s">
        <v>93</v>
      </c>
      <c r="F430" s="3" t="s">
        <v>106</v>
      </c>
    </row>
    <row r="431" spans="1:6" x14ac:dyDescent="0.3">
      <c r="A431" s="3" t="s">
        <v>94</v>
      </c>
      <c r="F431" s="3" t="s">
        <v>106</v>
      </c>
    </row>
    <row r="432" spans="1:6" x14ac:dyDescent="0.3">
      <c r="A432" s="3" t="s">
        <v>99</v>
      </c>
      <c r="F432" s="3" t="s">
        <v>106</v>
      </c>
    </row>
    <row r="433" spans="1:6" x14ac:dyDescent="0.3">
      <c r="A433" s="3" t="s">
        <v>95</v>
      </c>
      <c r="F433" s="3" t="s">
        <v>106</v>
      </c>
    </row>
    <row r="434" spans="1:6" x14ac:dyDescent="0.3">
      <c r="A434" s="3" t="s">
        <v>96</v>
      </c>
      <c r="F434" s="3" t="s">
        <v>106</v>
      </c>
    </row>
    <row r="435" spans="1:6" x14ac:dyDescent="0.3">
      <c r="A435" s="3" t="s">
        <v>97</v>
      </c>
      <c r="F435" s="3" t="s">
        <v>106</v>
      </c>
    </row>
    <row r="436" spans="1:6" x14ac:dyDescent="0.3">
      <c r="A436" s="3" t="s">
        <v>98</v>
      </c>
      <c r="F436" s="3" t="s">
        <v>106</v>
      </c>
    </row>
    <row r="437" spans="1:6" x14ac:dyDescent="0.3">
      <c r="A437" s="3" t="s">
        <v>103</v>
      </c>
      <c r="B437" s="5">
        <v>25000</v>
      </c>
      <c r="F437" s="3" t="s">
        <v>106</v>
      </c>
    </row>
    <row r="438" spans="1:6" x14ac:dyDescent="0.3">
      <c r="A438" s="3" t="s">
        <v>104</v>
      </c>
      <c r="B438" s="5">
        <v>20000</v>
      </c>
      <c r="F438" s="3" t="s">
        <v>106</v>
      </c>
    </row>
  </sheetData>
  <autoFilter ref="A1:G438" xr:uid="{00000000-0009-0000-0000-000003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6">
    <tabColor theme="0" tint="-0.14999847407452621"/>
  </sheetPr>
  <dimension ref="A1:C12"/>
  <sheetViews>
    <sheetView workbookViewId="0">
      <pane ySplit="1" topLeftCell="A2" activePane="bottomLeft" state="frozen"/>
      <selection pane="bottomLeft" activeCell="A4" sqref="A4"/>
    </sheetView>
  </sheetViews>
  <sheetFormatPr defaultRowHeight="14.4" x14ac:dyDescent="0.3"/>
  <cols>
    <col min="1" max="1" width="52.109375" bestFit="1" customWidth="1"/>
    <col min="2" max="2" width="13" bestFit="1" customWidth="1"/>
    <col min="3" max="3" width="15" bestFit="1" customWidth="1"/>
  </cols>
  <sheetData>
    <row r="1" spans="1:3" s="3" customFormat="1" ht="30.75" customHeight="1" x14ac:dyDescent="0.3">
      <c r="A1" s="1" t="s">
        <v>33</v>
      </c>
      <c r="B1" s="1" t="s">
        <v>1</v>
      </c>
      <c r="C1" s="1" t="s">
        <v>34</v>
      </c>
    </row>
    <row r="2" spans="1:3" x14ac:dyDescent="0.3">
      <c r="A2" t="s">
        <v>196</v>
      </c>
      <c r="B2" s="6">
        <v>5000</v>
      </c>
    </row>
    <row r="3" spans="1:3" x14ac:dyDescent="0.3">
      <c r="A3" t="s">
        <v>36</v>
      </c>
      <c r="B3" s="13">
        <v>1.5</v>
      </c>
      <c r="C3" t="s">
        <v>35</v>
      </c>
    </row>
    <row r="4" spans="1:3" x14ac:dyDescent="0.3">
      <c r="A4" t="s">
        <v>37</v>
      </c>
      <c r="B4" s="13">
        <v>1.3</v>
      </c>
      <c r="C4" t="s">
        <v>35</v>
      </c>
    </row>
    <row r="5" spans="1:3" x14ac:dyDescent="0.3">
      <c r="A5" t="s">
        <v>111</v>
      </c>
      <c r="B5" s="13">
        <v>2</v>
      </c>
      <c r="C5" t="s">
        <v>35</v>
      </c>
    </row>
    <row r="6" spans="1:3" x14ac:dyDescent="0.3">
      <c r="A6" t="s">
        <v>17</v>
      </c>
      <c r="B6" s="13">
        <v>1.1000000000000001</v>
      </c>
      <c r="C6" t="s">
        <v>35</v>
      </c>
    </row>
    <row r="7" spans="1:3" x14ac:dyDescent="0.3">
      <c r="A7" t="s">
        <v>153</v>
      </c>
      <c r="B7" s="16">
        <v>1.3</v>
      </c>
      <c r="C7" t="s">
        <v>35</v>
      </c>
    </row>
    <row r="8" spans="1:3" x14ac:dyDescent="0.3">
      <c r="A8" t="s">
        <v>171</v>
      </c>
      <c r="B8" s="13">
        <v>1.2</v>
      </c>
      <c r="C8" t="s">
        <v>35</v>
      </c>
    </row>
    <row r="9" spans="1:3" x14ac:dyDescent="0.3">
      <c r="A9" t="s">
        <v>158</v>
      </c>
      <c r="B9" s="13">
        <v>1.3</v>
      </c>
      <c r="C9" t="s">
        <v>35</v>
      </c>
    </row>
    <row r="10" spans="1:3" x14ac:dyDescent="0.3">
      <c r="A10" t="s">
        <v>170</v>
      </c>
      <c r="B10" s="13">
        <v>1.5</v>
      </c>
      <c r="C10" t="s">
        <v>35</v>
      </c>
    </row>
    <row r="11" spans="1:3" x14ac:dyDescent="0.3">
      <c r="A11" t="s">
        <v>173</v>
      </c>
      <c r="B11" s="13">
        <v>1.3</v>
      </c>
      <c r="C11" t="s">
        <v>35</v>
      </c>
    </row>
    <row r="12" spans="1:3" x14ac:dyDescent="0.3">
      <c r="A12" s="51" t="s">
        <v>187</v>
      </c>
      <c r="B12" s="13">
        <v>1.3</v>
      </c>
      <c r="C12" t="s">
        <v>35</v>
      </c>
    </row>
  </sheetData>
  <autoFilter ref="A1:C4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2">
    <tabColor theme="0" tint="-0.14999847407452621"/>
  </sheetPr>
  <dimension ref="B2:H44"/>
  <sheetViews>
    <sheetView zoomScale="85" zoomScaleNormal="85" workbookViewId="0">
      <selection activeCell="E14" sqref="C3:E14"/>
    </sheetView>
  </sheetViews>
  <sheetFormatPr defaultRowHeight="14.4" x14ac:dyDescent="0.3"/>
  <cols>
    <col min="2" max="2" width="13.44140625" bestFit="1" customWidth="1"/>
    <col min="3" max="3" width="49.44140625" customWidth="1"/>
    <col min="4" max="4" width="23" bestFit="1" customWidth="1"/>
    <col min="5" max="5" width="18.88671875" customWidth="1"/>
    <col min="6" max="6" width="31.109375" bestFit="1" customWidth="1"/>
    <col min="7" max="7" width="13.44140625" customWidth="1"/>
    <col min="8" max="8" width="72.6640625" bestFit="1" customWidth="1"/>
    <col min="9" max="9" width="24.109375" bestFit="1" customWidth="1"/>
    <col min="10" max="10" width="13.6640625" customWidth="1"/>
    <col min="11" max="11" width="17.6640625" bestFit="1" customWidth="1"/>
  </cols>
  <sheetData>
    <row r="2" spans="3:8" x14ac:dyDescent="0.3">
      <c r="C2" s="15" t="s">
        <v>0</v>
      </c>
      <c r="D2" s="15" t="s">
        <v>139</v>
      </c>
      <c r="E2" s="15" t="s">
        <v>138</v>
      </c>
    </row>
    <row r="3" spans="3:8" x14ac:dyDescent="0.3">
      <c r="C3" t="s">
        <v>26</v>
      </c>
      <c r="D3" t="s">
        <v>141</v>
      </c>
      <c r="E3" s="6">
        <v>1800</v>
      </c>
    </row>
    <row r="4" spans="3:8" x14ac:dyDescent="0.3">
      <c r="C4" t="s">
        <v>145</v>
      </c>
      <c r="D4" t="s">
        <v>142</v>
      </c>
      <c r="E4" s="6">
        <v>1500</v>
      </c>
    </row>
    <row r="5" spans="3:8" x14ac:dyDescent="0.3">
      <c r="C5" t="s">
        <v>147</v>
      </c>
      <c r="D5" t="s">
        <v>142</v>
      </c>
      <c r="E5" s="6">
        <v>1500</v>
      </c>
    </row>
    <row r="6" spans="3:8" x14ac:dyDescent="0.3">
      <c r="C6" t="s">
        <v>146</v>
      </c>
      <c r="D6" t="s">
        <v>142</v>
      </c>
      <c r="E6" s="6">
        <v>2000</v>
      </c>
      <c r="H6" s="28" t="s">
        <v>160</v>
      </c>
    </row>
    <row r="7" spans="3:8" x14ac:dyDescent="0.3">
      <c r="C7" t="s">
        <v>148</v>
      </c>
      <c r="D7" t="s">
        <v>182</v>
      </c>
      <c r="E7" s="6">
        <v>1200</v>
      </c>
      <c r="H7" s="28" t="s">
        <v>161</v>
      </c>
    </row>
    <row r="8" spans="3:8" x14ac:dyDescent="0.3">
      <c r="C8" t="s">
        <v>150</v>
      </c>
      <c r="D8" t="s">
        <v>140</v>
      </c>
      <c r="E8" s="6">
        <v>1500</v>
      </c>
      <c r="H8" s="28" t="s">
        <v>188</v>
      </c>
    </row>
    <row r="9" spans="3:8" x14ac:dyDescent="0.3">
      <c r="C9" t="s">
        <v>151</v>
      </c>
      <c r="D9" t="s">
        <v>140</v>
      </c>
      <c r="E9" s="6">
        <v>2000</v>
      </c>
      <c r="H9" s="28" t="s">
        <v>156</v>
      </c>
    </row>
    <row r="10" spans="3:8" x14ac:dyDescent="0.3">
      <c r="C10" t="s">
        <v>152</v>
      </c>
      <c r="D10" t="s">
        <v>140</v>
      </c>
      <c r="E10" s="6">
        <v>1100</v>
      </c>
      <c r="H10" s="28" t="s">
        <v>159</v>
      </c>
    </row>
    <row r="11" spans="3:8" x14ac:dyDescent="0.3">
      <c r="C11" t="s">
        <v>165</v>
      </c>
      <c r="D11" t="s">
        <v>142</v>
      </c>
      <c r="E11" s="6">
        <v>200</v>
      </c>
      <c r="H11" s="28" t="s">
        <v>157</v>
      </c>
    </row>
    <row r="12" spans="3:8" x14ac:dyDescent="0.3">
      <c r="C12" t="s">
        <v>166</v>
      </c>
      <c r="D12" t="s">
        <v>142</v>
      </c>
      <c r="E12" s="6">
        <v>3000</v>
      </c>
    </row>
    <row r="13" spans="3:8" x14ac:dyDescent="0.3">
      <c r="C13" t="s">
        <v>163</v>
      </c>
      <c r="D13" t="s">
        <v>142</v>
      </c>
      <c r="E13" s="6">
        <v>1500</v>
      </c>
    </row>
    <row r="14" spans="3:8" x14ac:dyDescent="0.3">
      <c r="C14" t="s">
        <v>164</v>
      </c>
      <c r="D14" t="s">
        <v>182</v>
      </c>
      <c r="E14" s="6">
        <v>4000</v>
      </c>
    </row>
    <row r="15" spans="3:8" x14ac:dyDescent="0.3">
      <c r="C15" t="s">
        <v>176</v>
      </c>
      <c r="D15" t="s">
        <v>140</v>
      </c>
    </row>
    <row r="16" spans="3:8" x14ac:dyDescent="0.3">
      <c r="C16" t="s">
        <v>177</v>
      </c>
      <c r="D16" t="s">
        <v>140</v>
      </c>
    </row>
    <row r="17" spans="2:5" x14ac:dyDescent="0.3">
      <c r="C17" t="s">
        <v>178</v>
      </c>
      <c r="D17" t="s">
        <v>141</v>
      </c>
    </row>
    <row r="18" spans="2:5" x14ac:dyDescent="0.3">
      <c r="C18" t="s">
        <v>179</v>
      </c>
      <c r="D18" t="s">
        <v>140</v>
      </c>
    </row>
    <row r="19" spans="2:5" x14ac:dyDescent="0.3">
      <c r="C19" t="s">
        <v>180</v>
      </c>
      <c r="D19" t="s">
        <v>140</v>
      </c>
    </row>
    <row r="20" spans="2:5" x14ac:dyDescent="0.3">
      <c r="C20" t="s">
        <v>181</v>
      </c>
      <c r="D20" t="s">
        <v>140</v>
      </c>
    </row>
    <row r="21" spans="2:5" x14ac:dyDescent="0.3">
      <c r="C21" s="39" t="s">
        <v>183</v>
      </c>
      <c r="D21" t="s">
        <v>183</v>
      </c>
    </row>
    <row r="22" spans="2:5" x14ac:dyDescent="0.3">
      <c r="C22" s="39" t="s">
        <v>33</v>
      </c>
      <c r="D22" t="s">
        <v>33</v>
      </c>
    </row>
    <row r="23" spans="2:5" x14ac:dyDescent="0.3">
      <c r="C23" s="39"/>
    </row>
    <row r="24" spans="2:5" x14ac:dyDescent="0.3">
      <c r="C24" s="39"/>
    </row>
    <row r="25" spans="2:5" x14ac:dyDescent="0.3">
      <c r="C25" s="39"/>
    </row>
    <row r="26" spans="2:5" x14ac:dyDescent="0.3">
      <c r="B26" s="11" t="s">
        <v>107</v>
      </c>
      <c r="C26" s="11" t="s">
        <v>108</v>
      </c>
      <c r="D26" s="11" t="s">
        <v>109</v>
      </c>
      <c r="E26" s="11" t="s">
        <v>110</v>
      </c>
    </row>
    <row r="27" spans="2:5" x14ac:dyDescent="0.3">
      <c r="B27" s="29" t="s">
        <v>50</v>
      </c>
      <c r="C27">
        <v>26666.666666666668</v>
      </c>
      <c r="D27">
        <v>2.5</v>
      </c>
      <c r="E27">
        <v>5618.7666807135802</v>
      </c>
    </row>
    <row r="28" spans="2:5" x14ac:dyDescent="0.3">
      <c r="B28" s="29" t="s">
        <v>42</v>
      </c>
      <c r="C28">
        <v>33333.333333333336</v>
      </c>
      <c r="D28">
        <v>5</v>
      </c>
      <c r="E28">
        <v>7023.4583508919804</v>
      </c>
    </row>
    <row r="29" spans="2:5" x14ac:dyDescent="0.3">
      <c r="B29" s="29" t="s">
        <v>48</v>
      </c>
      <c r="C29">
        <v>30000</v>
      </c>
      <c r="D29">
        <v>2.5</v>
      </c>
      <c r="E29">
        <v>6321.1125158027799</v>
      </c>
    </row>
    <row r="30" spans="2:5" x14ac:dyDescent="0.3">
      <c r="B30" s="29" t="s">
        <v>24</v>
      </c>
      <c r="C30">
        <v>32500</v>
      </c>
      <c r="D30">
        <v>4.333333333333333</v>
      </c>
      <c r="E30">
        <v>6847.8718921196796</v>
      </c>
    </row>
    <row r="31" spans="2:5" x14ac:dyDescent="0.3">
      <c r="B31" s="29" t="s">
        <v>51</v>
      </c>
      <c r="C31">
        <v>33333.333333333336</v>
      </c>
      <c r="D31">
        <v>2.5</v>
      </c>
      <c r="E31">
        <v>7023.4583508919804</v>
      </c>
    </row>
    <row r="32" spans="2:5" x14ac:dyDescent="0.3">
      <c r="B32" s="29" t="s">
        <v>79</v>
      </c>
      <c r="C32" s="29">
        <v>22500</v>
      </c>
      <c r="D32" s="29">
        <v>5</v>
      </c>
      <c r="E32" s="29">
        <v>4740.8343868520897</v>
      </c>
    </row>
    <row r="33" spans="2:5" x14ac:dyDescent="0.3">
      <c r="B33" s="30" t="s">
        <v>47</v>
      </c>
      <c r="C33" s="27">
        <v>28333.333333333332</v>
      </c>
      <c r="D33" s="27">
        <v>2.5</v>
      </c>
      <c r="E33" s="27">
        <v>5969.93959825818</v>
      </c>
    </row>
    <row r="34" spans="2:5" x14ac:dyDescent="0.3">
      <c r="B34" s="29" t="s">
        <v>44</v>
      </c>
      <c r="C34" s="29">
        <v>12000</v>
      </c>
      <c r="D34" s="29"/>
      <c r="E34" s="29">
        <v>2528.4450063211102</v>
      </c>
    </row>
    <row r="35" spans="2:5" x14ac:dyDescent="0.3">
      <c r="B35" t="s">
        <v>93</v>
      </c>
      <c r="C35">
        <v>60000</v>
      </c>
      <c r="D35">
        <v>7</v>
      </c>
      <c r="E35">
        <v>12642.2250316056</v>
      </c>
    </row>
    <row r="36" spans="2:5" x14ac:dyDescent="0.3">
      <c r="B36" t="s">
        <v>86</v>
      </c>
      <c r="C36">
        <v>40000</v>
      </c>
      <c r="D36">
        <v>5</v>
      </c>
      <c r="E36">
        <v>8428.1500210703707</v>
      </c>
    </row>
    <row r="37" spans="2:5" x14ac:dyDescent="0.3">
      <c r="B37" t="s">
        <v>85</v>
      </c>
      <c r="C37">
        <v>100000</v>
      </c>
      <c r="D37">
        <v>7</v>
      </c>
      <c r="E37">
        <v>21070.375052675899</v>
      </c>
    </row>
    <row r="38" spans="2:5" x14ac:dyDescent="0.3">
      <c r="B38" t="s">
        <v>87</v>
      </c>
      <c r="C38">
        <v>60000</v>
      </c>
      <c r="D38">
        <v>7</v>
      </c>
      <c r="E38">
        <v>12642.2250316056</v>
      </c>
    </row>
    <row r="39" spans="2:5" x14ac:dyDescent="0.3">
      <c r="B39" t="s">
        <v>88</v>
      </c>
      <c r="C39">
        <v>60000</v>
      </c>
      <c r="D39">
        <v>7</v>
      </c>
      <c r="E39">
        <v>12642.2250316056</v>
      </c>
    </row>
    <row r="40" spans="2:5" x14ac:dyDescent="0.3">
      <c r="B40" t="s">
        <v>89</v>
      </c>
      <c r="C40">
        <v>30000</v>
      </c>
      <c r="D40">
        <v>7</v>
      </c>
      <c r="E40">
        <v>6321.1125158027799</v>
      </c>
    </row>
    <row r="41" spans="2:5" x14ac:dyDescent="0.3">
      <c r="B41" t="s">
        <v>90</v>
      </c>
      <c r="C41">
        <v>80000</v>
      </c>
      <c r="D41">
        <v>5</v>
      </c>
      <c r="E41">
        <v>16856.300042140701</v>
      </c>
    </row>
    <row r="42" spans="2:5" x14ac:dyDescent="0.3">
      <c r="B42" t="s">
        <v>95</v>
      </c>
      <c r="C42">
        <v>10000</v>
      </c>
      <c r="D42">
        <v>7</v>
      </c>
      <c r="E42">
        <v>2107.0375052675899</v>
      </c>
    </row>
    <row r="43" spans="2:5" x14ac:dyDescent="0.3">
      <c r="B43" s="29" t="s">
        <v>25</v>
      </c>
      <c r="C43">
        <v>32500</v>
      </c>
      <c r="D43">
        <v>5</v>
      </c>
      <c r="E43">
        <v>6847.8718921196796</v>
      </c>
    </row>
    <row r="44" spans="2:5" x14ac:dyDescent="0.3">
      <c r="B44" s="29" t="s">
        <v>46</v>
      </c>
      <c r="C44">
        <v>30000</v>
      </c>
      <c r="D44">
        <v>2.5</v>
      </c>
      <c r="E44">
        <v>6321.1125158027799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/>
  <dimension ref="A1:P20"/>
  <sheetViews>
    <sheetView zoomScale="70" zoomScaleNormal="70" workbookViewId="0">
      <pane ySplit="1" topLeftCell="A2" activePane="bottomLeft" state="frozen"/>
      <selection pane="bottomLeft" activeCell="N8" sqref="N8"/>
    </sheetView>
  </sheetViews>
  <sheetFormatPr defaultColWidth="9.109375" defaultRowHeight="14.4" x14ac:dyDescent="0.3"/>
  <cols>
    <col min="1" max="1" width="24.6640625" style="40" bestFit="1" customWidth="1"/>
    <col min="2" max="2" width="9.109375" style="39"/>
    <col min="3" max="3" width="20.5546875" style="39" customWidth="1"/>
    <col min="4" max="4" width="9.109375" style="39"/>
    <col min="5" max="5" width="12.5546875" style="39" customWidth="1"/>
    <col min="6" max="6" width="9.109375" style="39"/>
    <col min="7" max="7" width="30.6640625" style="39" bestFit="1" customWidth="1"/>
    <col min="8" max="8" width="9.109375" style="39"/>
    <col min="9" max="9" width="21.88671875" style="39" bestFit="1" customWidth="1"/>
    <col min="10" max="10" width="9.109375" style="39"/>
    <col min="11" max="11" width="63.6640625" style="39" bestFit="1" customWidth="1"/>
    <col min="12" max="12" width="9.109375" style="39"/>
    <col min="13" max="13" width="38.109375" style="39" customWidth="1"/>
    <col min="14" max="14" width="11.88671875" style="39" customWidth="1"/>
    <col min="15" max="16384" width="9.109375" style="39"/>
  </cols>
  <sheetData>
    <row r="1" spans="1:16" ht="28.8" x14ac:dyDescent="0.3">
      <c r="A1" s="38" t="s">
        <v>132</v>
      </c>
      <c r="C1" s="38" t="s">
        <v>154</v>
      </c>
      <c r="E1" s="38" t="s">
        <v>168</v>
      </c>
      <c r="G1" s="38" t="s">
        <v>172</v>
      </c>
      <c r="I1" s="38" t="s">
        <v>139</v>
      </c>
      <c r="K1" s="38" t="s">
        <v>0</v>
      </c>
      <c r="M1" s="46" t="s">
        <v>186</v>
      </c>
    </row>
    <row r="2" spans="1:16" x14ac:dyDescent="0.3">
      <c r="A2" s="40" t="s">
        <v>133</v>
      </c>
      <c r="C2" s="39" t="s">
        <v>189</v>
      </c>
      <c r="E2" s="39" t="b">
        <v>1</v>
      </c>
      <c r="G2" s="39" t="s">
        <v>143</v>
      </c>
      <c r="I2" s="39" t="s">
        <v>140</v>
      </c>
      <c r="K2" t="s">
        <v>26</v>
      </c>
      <c r="M2" s="45" t="s">
        <v>184</v>
      </c>
    </row>
    <row r="3" spans="1:16" x14ac:dyDescent="0.3">
      <c r="A3" s="40" t="s">
        <v>134</v>
      </c>
      <c r="C3" s="39" t="s">
        <v>190</v>
      </c>
      <c r="E3" s="39" t="b">
        <v>0</v>
      </c>
      <c r="G3" s="39" t="s">
        <v>144</v>
      </c>
      <c r="I3" s="39" t="s">
        <v>142</v>
      </c>
      <c r="K3" t="s">
        <v>145</v>
      </c>
    </row>
    <row r="4" spans="1:16" x14ac:dyDescent="0.3">
      <c r="A4" s="40" t="s">
        <v>135</v>
      </c>
      <c r="G4" s="39" t="s">
        <v>191</v>
      </c>
      <c r="I4" s="39" t="s">
        <v>141</v>
      </c>
      <c r="K4" t="s">
        <v>147</v>
      </c>
    </row>
    <row r="5" spans="1:16" x14ac:dyDescent="0.3">
      <c r="I5" s="39" t="s">
        <v>33</v>
      </c>
      <c r="K5" t="s">
        <v>146</v>
      </c>
      <c r="M5" s="46" t="s">
        <v>185</v>
      </c>
      <c r="N5" s="46" t="s">
        <v>114</v>
      </c>
    </row>
    <row r="6" spans="1:16" x14ac:dyDescent="0.3">
      <c r="I6" s="39" t="s">
        <v>182</v>
      </c>
      <c r="K6" t="s">
        <v>148</v>
      </c>
      <c r="M6" s="39" t="s">
        <v>176</v>
      </c>
      <c r="N6" s="54">
        <f>MAX(2500*LN('Стоимость оценки'!F$8)-7000,5000)*1.5</f>
        <v>12849.512509827997</v>
      </c>
    </row>
    <row r="7" spans="1:16" x14ac:dyDescent="0.3">
      <c r="I7" s="39" t="s">
        <v>183</v>
      </c>
      <c r="K7" t="s">
        <v>150</v>
      </c>
      <c r="M7" s="39" t="str">
        <f>K15</f>
        <v>Жилой дом с земельным участком</v>
      </c>
      <c r="N7" s="54">
        <f>MAX(6500,1200*LN('Стоимость оценки'!F8)-1500)</f>
        <v>6500</v>
      </c>
    </row>
    <row r="8" spans="1:16" x14ac:dyDescent="0.3">
      <c r="K8" t="s">
        <v>151</v>
      </c>
      <c r="M8" s="39" t="str">
        <f>K16</f>
        <v>Доля в уставном капитале</v>
      </c>
      <c r="N8" s="54">
        <f>MAX(12500,17000*LN('Стоимость оценки'!F8)-80000)</f>
        <v>25851.123377886921</v>
      </c>
    </row>
    <row r="9" spans="1:16" x14ac:dyDescent="0.3">
      <c r="K9" t="s">
        <v>152</v>
      </c>
      <c r="M9" s="39" t="str">
        <f>K17</f>
        <v>Земельный участок некоммерческий</v>
      </c>
      <c r="N9" s="54">
        <f>MAX((2000*LN('Стоимость оценки'!F8)-4000)*2,2000)</f>
        <v>16906.146677149864</v>
      </c>
      <c r="P9" s="28"/>
    </row>
    <row r="10" spans="1:16" x14ac:dyDescent="0.3">
      <c r="K10" t="s">
        <v>165</v>
      </c>
      <c r="M10" s="39" t="str">
        <f>K19</f>
        <v>Отдельное здание коммерческое / производственное / складское</v>
      </c>
      <c r="N10" s="54">
        <f>MAX(2500*LN('Стоимость оценки'!F8)-7000,5000)*1.7</f>
        <v>14562.78084447173</v>
      </c>
      <c r="P10" s="28"/>
    </row>
    <row r="11" spans="1:16" x14ac:dyDescent="0.3">
      <c r="K11" t="s">
        <v>166</v>
      </c>
      <c r="M11" s="39" t="str">
        <f>K18</f>
        <v>Земельный участок сельскохозяйственный</v>
      </c>
      <c r="N11" s="54">
        <f>MAX(7000*LN('Стоимость оценки'!F8)-70600,2000)</f>
        <v>2000</v>
      </c>
      <c r="P11" s="28"/>
    </row>
    <row r="12" spans="1:16" x14ac:dyDescent="0.3">
      <c r="K12" t="s">
        <v>163</v>
      </c>
      <c r="P12" s="28"/>
    </row>
    <row r="13" spans="1:16" x14ac:dyDescent="0.3">
      <c r="K13" t="s">
        <v>164</v>
      </c>
      <c r="M13" s="28" t="s">
        <v>160</v>
      </c>
      <c r="P13" s="28"/>
    </row>
    <row r="14" spans="1:16" x14ac:dyDescent="0.3">
      <c r="K14" t="s">
        <v>176</v>
      </c>
      <c r="M14" s="28" t="s">
        <v>161</v>
      </c>
      <c r="P14" s="28"/>
    </row>
    <row r="15" spans="1:16" x14ac:dyDescent="0.3">
      <c r="K15" t="s">
        <v>177</v>
      </c>
      <c r="M15" s="28" t="s">
        <v>188</v>
      </c>
    </row>
    <row r="16" spans="1:16" x14ac:dyDescent="0.3">
      <c r="K16" t="s">
        <v>178</v>
      </c>
      <c r="M16" s="28" t="s">
        <v>156</v>
      </c>
    </row>
    <row r="17" spans="11:13" x14ac:dyDescent="0.3">
      <c r="K17" t="s">
        <v>179</v>
      </c>
      <c r="M17" s="28" t="s">
        <v>159</v>
      </c>
    </row>
    <row r="18" spans="11:13" x14ac:dyDescent="0.3">
      <c r="K18" t="s">
        <v>180</v>
      </c>
      <c r="M18" s="28" t="s">
        <v>157</v>
      </c>
    </row>
    <row r="19" spans="11:13" x14ac:dyDescent="0.3">
      <c r="K19" t="s">
        <v>181</v>
      </c>
    </row>
    <row r="20" spans="11:13" x14ac:dyDescent="0.3">
      <c r="K20" s="39" t="s">
        <v>183</v>
      </c>
    </row>
  </sheetData>
  <autoFilter ref="A1:A4" xr:uid="{00000000-0009-0000-0000-00000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Стоимость оценки</vt:lpstr>
      <vt:lpstr>Калькулятор выезда</vt:lpstr>
      <vt:lpstr>Стоимости оценок и нарядов</vt:lpstr>
      <vt:lpstr>Информация по стоимостям</vt:lpstr>
      <vt:lpstr>Дополнительное</vt:lpstr>
      <vt:lpstr>Расчет наряда</vt:lpstr>
      <vt:lpstr>Списки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2025-12-25T12:10:35Z</dcterms:modified>
</cp:coreProperties>
</file>